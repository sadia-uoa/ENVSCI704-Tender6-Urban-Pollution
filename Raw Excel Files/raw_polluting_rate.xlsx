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lutingRate_1" sheetId="1" state="visible" r:id="rId1"/>
    <sheet xmlns:r="http://schemas.openxmlformats.org/officeDocument/2006/relationships" name="PollutingRate_3" sheetId="2" state="visible" r:id="rId2"/>
    <sheet xmlns:r="http://schemas.openxmlformats.org/officeDocument/2006/relationships" name="PollutingRate_5" sheetId="3" state="visible" r:id="rId3"/>
    <sheet xmlns:r="http://schemas.openxmlformats.org/officeDocument/2006/relationships" name="PollutingRate_7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D2B"/>
      </patternFill>
    </fill>
    <fill>
      <patternFill patternType="solid">
        <fgColor rgb="00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0" customWidth="1" min="3" max="3"/>
    <col width="18" customWidth="1" min="4" max="4"/>
    <col width="20" customWidth="1" min="5" max="5"/>
    <col width="40" customWidth="1" min="6" max="6"/>
    <col width="3" customWidth="1" min="7" max="7"/>
    <col width="30" customWidth="1" min="8" max="8"/>
    <col width="14" customWidth="1" min="9" max="9"/>
  </cols>
  <sheetData>
    <row r="1">
      <c r="A1" s="1" t="inlineStr">
        <is>
          <t>Polluting rate</t>
        </is>
      </c>
      <c r="B1" s="1" t="inlineStr">
        <is>
          <t>Run</t>
        </is>
      </c>
      <c r="C1" s="1" t="inlineStr">
        <is>
          <t>Pollution at tick 100</t>
        </is>
      </c>
      <c r="D1" s="1" t="inlineStr">
        <is>
          <t>People at tick 100</t>
        </is>
      </c>
      <c r="E1" s="1" t="inlineStr">
        <is>
          <t>Collapse time (years)</t>
        </is>
      </c>
      <c r="F1" s="1" t="inlineStr">
        <is>
          <t>Notes</t>
        </is>
      </c>
      <c r="H1" s="2" t="inlineStr">
        <is>
          <t>Summary</t>
        </is>
      </c>
    </row>
    <row r="2">
      <c r="A2" t="n">
        <v>1</v>
      </c>
      <c r="B2" t="n">
        <v>1</v>
      </c>
      <c r="C2" s="3" t="n">
        <v>4.062872644783328e-05</v>
      </c>
      <c r="D2" t="n">
        <v>156</v>
      </c>
      <c r="E2" t="n">
        <v>238</v>
      </c>
      <c r="F2" t="inlineStr"/>
      <c r="H2" t="inlineStr">
        <is>
          <t>Runs with a pollution value</t>
        </is>
      </c>
      <c r="I2">
        <f>COUNT(C2:C21)</f>
        <v/>
      </c>
    </row>
    <row r="3">
      <c r="A3" t="n">
        <v>1</v>
      </c>
      <c r="B3" t="n">
        <v>2</v>
      </c>
      <c r="C3" s="3" t="n">
        <v>0.002571997905836305</v>
      </c>
      <c r="D3" t="n">
        <v>89</v>
      </c>
      <c r="E3" t="n">
        <v>320</v>
      </c>
      <c r="F3" t="inlineStr"/>
      <c r="H3" t="inlineStr">
        <is>
          <t>Mean pollution at tick 100</t>
        </is>
      </c>
      <c r="I3" s="3">
        <f>AVERAGE(C2:C21)</f>
        <v/>
      </c>
    </row>
    <row r="4">
      <c r="A4" t="n">
        <v>1</v>
      </c>
      <c r="B4" t="n">
        <v>3</v>
      </c>
      <c r="C4" s="3" t="n">
        <v>0.0001118545321308588</v>
      </c>
      <c r="D4" t="n">
        <v>171</v>
      </c>
      <c r="E4" t="n">
        <v>1034</v>
      </c>
      <c r="F4" t="inlineStr"/>
      <c r="H4" t="inlineStr">
        <is>
          <t>Median pollution at tick 100</t>
        </is>
      </c>
      <c r="I4" s="3">
        <f>MEDIAN(C2:C21)</f>
        <v/>
      </c>
    </row>
    <row r="5">
      <c r="A5" t="n">
        <v>1</v>
      </c>
      <c r="B5" t="n">
        <v>4</v>
      </c>
      <c r="C5" s="3" t="n">
        <v>4.409064735685629e-11</v>
      </c>
      <c r="D5" t="n">
        <v>317</v>
      </c>
      <c r="E5" t="n">
        <v>621</v>
      </c>
      <c r="F5" t="inlineStr"/>
      <c r="H5" t="inlineStr">
        <is>
          <t>Runs that collapsed (valid)</t>
        </is>
      </c>
      <c r="I5">
        <f>COUNT(E2:E21)</f>
        <v/>
      </c>
    </row>
    <row r="6">
      <c r="A6" t="n">
        <v>1</v>
      </c>
      <c r="B6" t="n">
        <v>5</v>
      </c>
      <c r="C6" s="3" t="n">
        <v>1.479258092898611e-07</v>
      </c>
      <c r="D6" t="n">
        <v>448</v>
      </c>
      <c r="E6" t="n">
        <v>2590</v>
      </c>
      <c r="F6" t="inlineStr"/>
      <c r="H6" t="inlineStr">
        <is>
          <t>Runs excluded (no collapse)</t>
        </is>
      </c>
      <c r="I6">
        <f>COUNT(B2:B21)-COUNT(E2:E21)</f>
        <v/>
      </c>
    </row>
    <row r="7">
      <c r="A7" t="n">
        <v>1</v>
      </c>
      <c r="B7" t="n">
        <v>6</v>
      </c>
      <c r="C7" s="3" t="n">
        <v>0.001276776506388256</v>
      </c>
      <c r="D7" t="n">
        <v>48</v>
      </c>
      <c r="E7" t="n">
        <v>202</v>
      </c>
      <c r="F7" t="inlineStr"/>
      <c r="H7" t="inlineStr">
        <is>
          <t>Mean collapse time</t>
        </is>
      </c>
      <c r="I7" s="4">
        <f>AVERAGE(E2:E21)</f>
        <v/>
      </c>
    </row>
    <row r="8">
      <c r="A8" t="n">
        <v>1</v>
      </c>
      <c r="B8" t="n">
        <v>7</v>
      </c>
      <c r="C8" s="3" t="n">
        <v>0.0003656888990899675</v>
      </c>
      <c r="D8" t="n">
        <v>231</v>
      </c>
      <c r="E8" t="n">
        <v>219</v>
      </c>
      <c r="F8" t="inlineStr"/>
      <c r="H8" t="inlineStr">
        <is>
          <t>Median collapse time</t>
        </is>
      </c>
      <c r="I8">
        <f>MEDIAN(E2:E21)</f>
        <v/>
      </c>
    </row>
    <row r="9">
      <c r="A9" t="n">
        <v>1</v>
      </c>
      <c r="B9" t="n">
        <v>8</v>
      </c>
      <c r="C9" s="3" t="n">
        <v>0.001491131931897316</v>
      </c>
      <c r="D9" t="n">
        <v>27</v>
      </c>
      <c r="E9" t="n">
        <v>149</v>
      </c>
      <c r="F9" t="inlineStr"/>
      <c r="H9" t="inlineStr">
        <is>
          <t>Min collapse time</t>
        </is>
      </c>
      <c r="I9">
        <f>MIN(E2:E21)</f>
        <v/>
      </c>
    </row>
    <row r="10">
      <c r="A10" t="n">
        <v>1</v>
      </c>
      <c r="B10" t="n">
        <v>9</v>
      </c>
      <c r="C10" s="3" t="n">
        <v>0.0001486990056215114</v>
      </c>
      <c r="D10" t="n">
        <v>385</v>
      </c>
      <c r="E10" t="n">
        <v>606</v>
      </c>
      <c r="F10" t="inlineStr"/>
      <c r="H10" t="inlineStr">
        <is>
          <t>Max collapse time</t>
        </is>
      </c>
      <c r="I10">
        <f>MAX(E2:E21)</f>
        <v/>
      </c>
    </row>
    <row r="11">
      <c r="A11" t="n">
        <v>1</v>
      </c>
      <c r="B11" t="n">
        <v>10</v>
      </c>
      <c r="C11" s="3" t="n">
        <v>2.896109303196927e-10</v>
      </c>
      <c r="D11" t="n">
        <v>346</v>
      </c>
      <c r="E11" t="n">
        <v>749</v>
      </c>
      <c r="F11" t="inlineStr"/>
    </row>
    <row r="12">
      <c r="A12" t="n">
        <v>1</v>
      </c>
      <c r="B12" t="n">
        <v>11</v>
      </c>
      <c r="C12" s="3" t="n">
        <v>0.0004948522521729128</v>
      </c>
      <c r="D12" t="n">
        <v>515</v>
      </c>
      <c r="E12" t="n">
        <v>1127</v>
      </c>
      <c r="F12" t="inlineStr"/>
    </row>
    <row r="13">
      <c r="A13" t="n">
        <v>1</v>
      </c>
      <c r="B13" t="n">
        <v>12</v>
      </c>
      <c r="C13" s="3" t="n">
        <v>0.0002029151072064489</v>
      </c>
      <c r="D13" t="n">
        <v>260</v>
      </c>
      <c r="E13" t="n">
        <v>593</v>
      </c>
      <c r="F13" t="inlineStr"/>
    </row>
    <row r="14">
      <c r="A14" t="n">
        <v>1</v>
      </c>
      <c r="B14" t="n">
        <v>13</v>
      </c>
      <c r="C14" s="3" t="n">
        <v>0.0005193900472019595</v>
      </c>
      <c r="D14" t="n">
        <v>115</v>
      </c>
      <c r="E14" t="n">
        <v>227</v>
      </c>
      <c r="F14" t="inlineStr"/>
    </row>
    <row r="15">
      <c r="A15" t="n">
        <v>1</v>
      </c>
      <c r="B15" t="n">
        <v>14</v>
      </c>
      <c r="C15" s="3" t="n">
        <v>0.0001121661291838506</v>
      </c>
      <c r="D15" t="n">
        <v>375</v>
      </c>
      <c r="E15" t="n">
        <v>438</v>
      </c>
      <c r="F15" t="inlineStr"/>
    </row>
    <row r="16">
      <c r="A16" t="n">
        <v>1</v>
      </c>
      <c r="B16" t="n">
        <v>15</v>
      </c>
      <c r="C16" s="3" t="n">
        <v>0.001479717199034329</v>
      </c>
      <c r="D16" t="n">
        <v>157</v>
      </c>
      <c r="E16" t="n">
        <v>639</v>
      </c>
      <c r="F16" t="inlineStr"/>
    </row>
    <row r="17">
      <c r="A17" t="n">
        <v>1</v>
      </c>
      <c r="B17" t="n">
        <v>16</v>
      </c>
      <c r="C17" s="3" t="n">
        <v>0.002726423167718328</v>
      </c>
      <c r="D17" t="n">
        <v>110</v>
      </c>
      <c r="E17" t="n">
        <v>311</v>
      </c>
      <c r="F17" t="inlineStr"/>
    </row>
    <row r="18">
      <c r="A18" t="n">
        <v>1</v>
      </c>
      <c r="B18" t="n">
        <v>17</v>
      </c>
      <c r="C18" s="3" t="n">
        <v>4.619674315529895e-10</v>
      </c>
      <c r="D18" t="n">
        <v>501</v>
      </c>
      <c r="E18" t="n">
        <v>540</v>
      </c>
      <c r="F18" t="inlineStr"/>
    </row>
    <row r="19">
      <c r="A19" t="n">
        <v>1</v>
      </c>
      <c r="B19" t="n">
        <v>18</v>
      </c>
      <c r="C19" s="3" t="n">
        <v>0.0002898805897502694</v>
      </c>
      <c r="D19" t="n">
        <v>305</v>
      </c>
      <c r="E19" t="n">
        <v>744</v>
      </c>
      <c r="F19" t="inlineStr"/>
    </row>
    <row r="20">
      <c r="A20" t="n">
        <v>1</v>
      </c>
      <c r="B20" t="n">
        <v>19</v>
      </c>
      <c r="C20" s="3" t="n">
        <v>2.255125966606206e-14</v>
      </c>
      <c r="D20" t="n">
        <v>445</v>
      </c>
      <c r="E20" t="n">
        <v>978</v>
      </c>
      <c r="F20" t="inlineStr"/>
    </row>
    <row r="21">
      <c r="A21" t="n">
        <v>1</v>
      </c>
      <c r="B21" t="n">
        <v>20</v>
      </c>
      <c r="C21" s="3" t="n">
        <v>0.00197466928609864</v>
      </c>
      <c r="D21" t="n">
        <v>75</v>
      </c>
      <c r="E21" t="n">
        <v>361</v>
      </c>
      <c r="F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0" customWidth="1" min="3" max="3"/>
    <col width="18" customWidth="1" min="4" max="4"/>
    <col width="20" customWidth="1" min="5" max="5"/>
    <col width="40" customWidth="1" min="6" max="6"/>
    <col width="3" customWidth="1" min="7" max="7"/>
    <col width="30" customWidth="1" min="8" max="8"/>
    <col width="14" customWidth="1" min="9" max="9"/>
  </cols>
  <sheetData>
    <row r="1">
      <c r="A1" s="1" t="inlineStr">
        <is>
          <t>Polluting rate</t>
        </is>
      </c>
      <c r="B1" s="1" t="inlineStr">
        <is>
          <t>Run</t>
        </is>
      </c>
      <c r="C1" s="1" t="inlineStr">
        <is>
          <t>Pollution at tick 100</t>
        </is>
      </c>
      <c r="D1" s="1" t="inlineStr">
        <is>
          <t>People at tick 100</t>
        </is>
      </c>
      <c r="E1" s="1" t="inlineStr">
        <is>
          <t>Collapse time (years)</t>
        </is>
      </c>
      <c r="F1" s="1" t="inlineStr">
        <is>
          <t>Notes</t>
        </is>
      </c>
      <c r="H1" s="2" t="inlineStr">
        <is>
          <t>Summary</t>
        </is>
      </c>
    </row>
    <row r="2">
      <c r="A2" t="n">
        <v>3</v>
      </c>
      <c r="B2" t="n">
        <v>1</v>
      </c>
      <c r="C2" s="3" t="n">
        <v>0.001873536114582602</v>
      </c>
      <c r="D2" t="n">
        <v>200</v>
      </c>
      <c r="E2" s="5" t="n"/>
      <c r="F2" t="inlineStr">
        <is>
          <t>no collapse (reached 3000) - excluded; baseline = the power-plants=2 runs</t>
        </is>
      </c>
      <c r="H2" t="inlineStr">
        <is>
          <t>Runs with a pollution value</t>
        </is>
      </c>
      <c r="I2">
        <f>COUNT(C2:C21)</f>
        <v/>
      </c>
    </row>
    <row r="3">
      <c r="A3" t="n">
        <v>3</v>
      </c>
      <c r="B3" t="n">
        <v>2</v>
      </c>
      <c r="C3" s="3" t="n">
        <v>0.006448963151248772</v>
      </c>
      <c r="D3" t="n">
        <v>63</v>
      </c>
      <c r="E3" t="n">
        <v>345</v>
      </c>
      <c r="F3" t="inlineStr"/>
      <c r="H3" t="inlineStr">
        <is>
          <t>Mean pollution at tick 100</t>
        </is>
      </c>
      <c r="I3" s="3">
        <f>AVERAGE(C2:C21)</f>
        <v/>
      </c>
    </row>
    <row r="4">
      <c r="A4" t="n">
        <v>3</v>
      </c>
      <c r="B4" t="n">
        <v>3</v>
      </c>
      <c r="C4" s="3" t="n">
        <v>0.0008282845188796998</v>
      </c>
      <c r="D4" t="n">
        <v>399</v>
      </c>
      <c r="E4" t="n">
        <v>1104</v>
      </c>
      <c r="F4" t="inlineStr"/>
      <c r="H4" t="inlineStr">
        <is>
          <t>Median pollution at tick 100</t>
        </is>
      </c>
      <c r="I4" s="3">
        <f>MEDIAN(C2:C21)</f>
        <v/>
      </c>
    </row>
    <row r="5">
      <c r="A5" t="n">
        <v>3</v>
      </c>
      <c r="B5" t="n">
        <v>4</v>
      </c>
      <c r="C5" s="3" t="n">
        <v>0.001318456869747889</v>
      </c>
      <c r="D5" t="n">
        <v>394</v>
      </c>
      <c r="E5" t="n">
        <v>385</v>
      </c>
      <c r="F5" t="inlineStr"/>
      <c r="H5" t="inlineStr">
        <is>
          <t>Runs that collapsed (valid)</t>
        </is>
      </c>
      <c r="I5">
        <f>COUNT(E2:E21)</f>
        <v/>
      </c>
    </row>
    <row r="6">
      <c r="A6" t="n">
        <v>3</v>
      </c>
      <c r="B6" t="n">
        <v>5</v>
      </c>
      <c r="C6" s="3" t="n">
        <v>0.004585630737658605</v>
      </c>
      <c r="D6" t="n">
        <v>281</v>
      </c>
      <c r="E6" t="n">
        <v>628</v>
      </c>
      <c r="F6" t="inlineStr"/>
      <c r="H6" t="inlineStr">
        <is>
          <t>Runs excluded (no collapse)</t>
        </is>
      </c>
      <c r="I6">
        <f>COUNT(B2:B21)-COUNT(E2:E21)</f>
        <v/>
      </c>
    </row>
    <row r="7">
      <c r="A7" t="n">
        <v>3</v>
      </c>
      <c r="B7" t="n">
        <v>6</v>
      </c>
      <c r="C7" s="3" t="n">
        <v>0.002448634055060937</v>
      </c>
      <c r="D7" t="n">
        <v>111</v>
      </c>
      <c r="E7" t="n">
        <v>2838</v>
      </c>
      <c r="F7" t="inlineStr"/>
      <c r="H7" t="inlineStr">
        <is>
          <t>Mean collapse time</t>
        </is>
      </c>
      <c r="I7" s="4">
        <f>AVERAGE(E2:E21)</f>
        <v/>
      </c>
    </row>
    <row r="8">
      <c r="A8" t="n">
        <v>3</v>
      </c>
      <c r="B8" t="n">
        <v>7</v>
      </c>
      <c r="C8" s="3" t="n">
        <v>0.0009363245865469797</v>
      </c>
      <c r="D8" t="n">
        <v>229</v>
      </c>
      <c r="E8" t="n">
        <v>246</v>
      </c>
      <c r="F8" t="inlineStr"/>
      <c r="H8" t="inlineStr">
        <is>
          <t>Median collapse time</t>
        </is>
      </c>
      <c r="I8">
        <f>MEDIAN(E2:E21)</f>
        <v/>
      </c>
    </row>
    <row r="9">
      <c r="A9" t="n">
        <v>3</v>
      </c>
      <c r="B9" t="n">
        <v>8</v>
      </c>
      <c r="C9" s="3" t="n">
        <v>0.004250295154721362</v>
      </c>
      <c r="D9" t="n">
        <v>126</v>
      </c>
      <c r="E9" t="n">
        <v>161</v>
      </c>
      <c r="F9" t="inlineStr"/>
      <c r="H9" t="inlineStr">
        <is>
          <t>Min collapse time</t>
        </is>
      </c>
      <c r="I9">
        <f>MIN(E2:E21)</f>
        <v/>
      </c>
    </row>
    <row r="10">
      <c r="A10" t="n">
        <v>3</v>
      </c>
      <c r="B10" t="n">
        <v>9</v>
      </c>
      <c r="C10" s="3" t="n">
        <v>0.001706414708846105</v>
      </c>
      <c r="D10" t="n">
        <v>166</v>
      </c>
      <c r="E10" t="n">
        <v>179</v>
      </c>
      <c r="F10" t="inlineStr"/>
      <c r="H10" t="inlineStr">
        <is>
          <t>Max collapse time</t>
        </is>
      </c>
      <c r="I10">
        <f>MAX(E2:E21)</f>
        <v/>
      </c>
    </row>
    <row r="11">
      <c r="A11" t="n">
        <v>3</v>
      </c>
      <c r="B11" t="n">
        <v>10</v>
      </c>
      <c r="C11" s="3" t="n">
        <v>0.001598957373472048</v>
      </c>
      <c r="D11" t="n">
        <v>639</v>
      </c>
      <c r="E11" t="n">
        <v>1953</v>
      </c>
      <c r="F11" t="inlineStr"/>
    </row>
    <row r="12">
      <c r="A12" t="n">
        <v>3</v>
      </c>
      <c r="B12" t="n">
        <v>11</v>
      </c>
      <c r="C12" s="3" t="n">
        <v>0.001138728647130621</v>
      </c>
      <c r="D12" t="n">
        <v>379</v>
      </c>
      <c r="E12" t="n">
        <v>1166</v>
      </c>
      <c r="F12" t="inlineStr"/>
    </row>
    <row r="13">
      <c r="A13" t="n">
        <v>3</v>
      </c>
      <c r="B13" t="n">
        <v>12</v>
      </c>
      <c r="C13" s="3" t="n">
        <v>0.003827627281478996</v>
      </c>
      <c r="D13" t="n">
        <v>101</v>
      </c>
      <c r="E13" t="n">
        <v>147</v>
      </c>
      <c r="F13" t="inlineStr"/>
    </row>
    <row r="14">
      <c r="A14" t="n">
        <v>3</v>
      </c>
      <c r="B14" t="n">
        <v>13</v>
      </c>
      <c r="C14" s="3" t="n">
        <v>0.002056510575255825</v>
      </c>
      <c r="D14" t="n">
        <v>229</v>
      </c>
      <c r="E14" t="n">
        <v>704</v>
      </c>
      <c r="F14" t="inlineStr"/>
    </row>
    <row r="15">
      <c r="A15" t="n">
        <v>3</v>
      </c>
      <c r="B15" t="n">
        <v>14</v>
      </c>
      <c r="C15" s="3" t="n">
        <v>0.001579810925924794</v>
      </c>
      <c r="D15" t="n">
        <v>564</v>
      </c>
      <c r="E15" s="5" t="n"/>
      <c r="F15" t="inlineStr">
        <is>
          <t>no collapse (reached 3000) - excluded</t>
        </is>
      </c>
    </row>
    <row r="16">
      <c r="A16" t="n">
        <v>3</v>
      </c>
      <c r="B16" t="n">
        <v>15</v>
      </c>
      <c r="C16" s="3" t="n">
        <v>0.002640018158433533</v>
      </c>
      <c r="D16" t="n">
        <v>353</v>
      </c>
      <c r="E16" t="n">
        <v>371</v>
      </c>
      <c r="F16" t="inlineStr"/>
    </row>
    <row r="17">
      <c r="A17" t="n">
        <v>3</v>
      </c>
      <c r="B17" t="n">
        <v>16</v>
      </c>
      <c r="C17" s="3" t="n">
        <v>0.0006708408736643883</v>
      </c>
      <c r="D17" t="n">
        <v>374</v>
      </c>
      <c r="E17" t="n">
        <v>649</v>
      </c>
      <c r="F17" t="inlineStr"/>
    </row>
    <row r="18">
      <c r="A18" t="n">
        <v>3</v>
      </c>
      <c r="B18" t="n">
        <v>17</v>
      </c>
      <c r="C18" s="3" t="n">
        <v>0.0005719023878822912</v>
      </c>
      <c r="D18" t="n">
        <v>845</v>
      </c>
      <c r="E18" t="n">
        <v>703</v>
      </c>
      <c r="F18" t="inlineStr"/>
    </row>
    <row r="19">
      <c r="A19" t="n">
        <v>3</v>
      </c>
      <c r="B19" t="n">
        <v>18</v>
      </c>
      <c r="C19" s="3" t="n">
        <v>7.620557238961933e-17</v>
      </c>
      <c r="D19" t="n">
        <v>783</v>
      </c>
      <c r="E19" t="n">
        <v>1099</v>
      </c>
      <c r="F19" t="inlineStr"/>
    </row>
    <row r="20">
      <c r="A20" t="n">
        <v>3</v>
      </c>
      <c r="B20" t="n">
        <v>19</v>
      </c>
      <c r="C20" s="3" t="n">
        <v>0.002047509462150888</v>
      </c>
      <c r="D20" t="n">
        <v>308</v>
      </c>
      <c r="E20" t="n">
        <v>2848</v>
      </c>
      <c r="F20" t="inlineStr"/>
    </row>
    <row r="21">
      <c r="A21" t="n">
        <v>3</v>
      </c>
      <c r="B21" t="n">
        <v>20</v>
      </c>
      <c r="C21" s="3" t="n">
        <v>0.00167410474434377</v>
      </c>
      <c r="D21" t="n">
        <v>185</v>
      </c>
      <c r="E21" t="n">
        <v>244</v>
      </c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0" customWidth="1" min="3" max="3"/>
    <col width="18" customWidth="1" min="4" max="4"/>
    <col width="20" customWidth="1" min="5" max="5"/>
    <col width="40" customWidth="1" min="6" max="6"/>
    <col width="3" customWidth="1" min="7" max="7"/>
    <col width="30" customWidth="1" min="8" max="8"/>
    <col width="14" customWidth="1" min="9" max="9"/>
  </cols>
  <sheetData>
    <row r="1">
      <c r="A1" s="1" t="inlineStr">
        <is>
          <t>Polluting rate</t>
        </is>
      </c>
      <c r="B1" s="1" t="inlineStr">
        <is>
          <t>Run</t>
        </is>
      </c>
      <c r="C1" s="1" t="inlineStr">
        <is>
          <t>Pollution at tick 100</t>
        </is>
      </c>
      <c r="D1" s="1" t="inlineStr">
        <is>
          <t>People at tick 100</t>
        </is>
      </c>
      <c r="E1" s="1" t="inlineStr">
        <is>
          <t>Collapse time (years)</t>
        </is>
      </c>
      <c r="F1" s="1" t="inlineStr">
        <is>
          <t>Notes</t>
        </is>
      </c>
      <c r="H1" s="2" t="inlineStr">
        <is>
          <t>Summary</t>
        </is>
      </c>
    </row>
    <row r="2">
      <c r="A2" t="n">
        <v>5</v>
      </c>
      <c r="B2" t="n">
        <v>1</v>
      </c>
      <c r="C2" s="3" t="n">
        <v>0.01268003587669644</v>
      </c>
      <c r="D2" t="n">
        <v>79</v>
      </c>
      <c r="E2" t="n">
        <v>236</v>
      </c>
      <c r="F2" t="inlineStr"/>
      <c r="H2" t="inlineStr">
        <is>
          <t>Runs with a pollution value</t>
        </is>
      </c>
      <c r="I2">
        <f>COUNT(C2:C21)</f>
        <v/>
      </c>
    </row>
    <row r="3">
      <c r="A3" t="n">
        <v>5</v>
      </c>
      <c r="B3" t="n">
        <v>2</v>
      </c>
      <c r="C3" s="3" t="n">
        <v>0.004595195790029041</v>
      </c>
      <c r="D3" t="n">
        <v>87</v>
      </c>
      <c r="E3" t="n">
        <v>211</v>
      </c>
      <c r="F3" t="inlineStr"/>
      <c r="H3" t="inlineStr">
        <is>
          <t>Mean pollution at tick 100</t>
        </is>
      </c>
      <c r="I3" s="3">
        <f>AVERAGE(C2:C21)</f>
        <v/>
      </c>
    </row>
    <row r="4">
      <c r="A4" t="n">
        <v>5</v>
      </c>
      <c r="B4" t="n">
        <v>3</v>
      </c>
      <c r="C4" s="3" t="n">
        <v>0.003218189979908888</v>
      </c>
      <c r="D4" t="n">
        <v>139</v>
      </c>
      <c r="E4" t="n">
        <v>727</v>
      </c>
      <c r="F4" t="inlineStr"/>
      <c r="H4" t="inlineStr">
        <is>
          <t>Median pollution at tick 100</t>
        </is>
      </c>
      <c r="I4" s="3">
        <f>MEDIAN(C2:C21)</f>
        <v/>
      </c>
    </row>
    <row r="5">
      <c r="A5" t="n">
        <v>5</v>
      </c>
      <c r="B5" t="n">
        <v>4</v>
      </c>
      <c r="C5" s="3" t="n">
        <v>0.003977453124901067</v>
      </c>
      <c r="D5" t="n">
        <v>365</v>
      </c>
      <c r="E5" t="n">
        <v>751</v>
      </c>
      <c r="F5" t="inlineStr"/>
      <c r="H5" t="inlineStr">
        <is>
          <t>Runs that collapsed (valid)</t>
        </is>
      </c>
      <c r="I5">
        <f>COUNT(E2:E21)</f>
        <v/>
      </c>
    </row>
    <row r="6">
      <c r="A6" t="n">
        <v>5</v>
      </c>
      <c r="B6" t="n">
        <v>5</v>
      </c>
      <c r="C6" s="3" t="n">
        <v>0.008223342115867373</v>
      </c>
      <c r="D6" t="n">
        <v>133</v>
      </c>
      <c r="E6" t="n">
        <v>524</v>
      </c>
      <c r="F6" t="inlineStr"/>
      <c r="H6" t="inlineStr">
        <is>
          <t>Runs excluded (no collapse)</t>
        </is>
      </c>
      <c r="I6">
        <f>COUNT(B2:B21)-COUNT(E2:E21)</f>
        <v/>
      </c>
    </row>
    <row r="7">
      <c r="A7" t="n">
        <v>5</v>
      </c>
      <c r="B7" t="n">
        <v>6</v>
      </c>
      <c r="C7" s="3" t="n">
        <v>0.003106466813189083</v>
      </c>
      <c r="D7" t="n">
        <v>325</v>
      </c>
      <c r="E7" t="n">
        <v>523</v>
      </c>
      <c r="F7" t="inlineStr"/>
      <c r="H7" t="inlineStr">
        <is>
          <t>Mean collapse time</t>
        </is>
      </c>
      <c r="I7" s="4">
        <f>AVERAGE(E2:E21)</f>
        <v/>
      </c>
    </row>
    <row r="8">
      <c r="A8" t="n">
        <v>5</v>
      </c>
      <c r="B8" t="n">
        <v>7</v>
      </c>
      <c r="C8" s="3" t="n">
        <v>0.001455121764428207</v>
      </c>
      <c r="D8" t="n">
        <v>277</v>
      </c>
      <c r="E8" s="5" t="n"/>
      <c r="F8" t="inlineStr">
        <is>
          <t>no collapse (reached 3000) - excluded</t>
        </is>
      </c>
      <c r="H8" t="inlineStr">
        <is>
          <t>Median collapse time</t>
        </is>
      </c>
      <c r="I8">
        <f>MEDIAN(E2:E21)</f>
        <v/>
      </c>
    </row>
    <row r="9">
      <c r="A9" t="n">
        <v>5</v>
      </c>
      <c r="B9" t="n">
        <v>8</v>
      </c>
      <c r="C9" s="3" t="n">
        <v>0.001516619057738896</v>
      </c>
      <c r="D9" t="n">
        <v>300</v>
      </c>
      <c r="E9" t="n">
        <v>1073</v>
      </c>
      <c r="F9" t="inlineStr"/>
      <c r="H9" t="inlineStr">
        <is>
          <t>Min collapse time</t>
        </is>
      </c>
      <c r="I9">
        <f>MIN(E2:E21)</f>
        <v/>
      </c>
    </row>
    <row r="10">
      <c r="A10" t="n">
        <v>5</v>
      </c>
      <c r="B10" t="n">
        <v>9</v>
      </c>
      <c r="C10" s="3" t="n">
        <v>0.005094116831622734</v>
      </c>
      <c r="D10" t="n">
        <v>163</v>
      </c>
      <c r="E10" t="n">
        <v>325</v>
      </c>
      <c r="F10" t="inlineStr"/>
      <c r="H10" t="inlineStr">
        <is>
          <t>Max collapse time</t>
        </is>
      </c>
      <c r="I10">
        <f>MAX(E2:E21)</f>
        <v/>
      </c>
    </row>
    <row r="11">
      <c r="A11" t="n">
        <v>5</v>
      </c>
      <c r="B11" t="n">
        <v>10</v>
      </c>
      <c r="C11" s="3" t="n">
        <v>0.001792389792343716</v>
      </c>
      <c r="D11" t="n">
        <v>456</v>
      </c>
      <c r="E11" t="n">
        <v>342</v>
      </c>
      <c r="F11" t="inlineStr"/>
    </row>
    <row r="12">
      <c r="A12" t="n">
        <v>5</v>
      </c>
      <c r="B12" t="n">
        <v>11</v>
      </c>
      <c r="C12" s="3" t="n">
        <v>0.005146473556436218</v>
      </c>
      <c r="D12" t="n">
        <v>241</v>
      </c>
      <c r="E12" t="n">
        <v>1052</v>
      </c>
      <c r="F12" t="inlineStr"/>
    </row>
    <row r="13">
      <c r="A13" t="n">
        <v>5</v>
      </c>
      <c r="B13" t="n">
        <v>12</v>
      </c>
      <c r="C13" s="3" t="n">
        <v>0.004325037633092581</v>
      </c>
      <c r="D13" t="n">
        <v>252</v>
      </c>
      <c r="E13" s="5" t="n"/>
      <c r="F13" t="inlineStr">
        <is>
          <t>no collapse (reached 3000) - excluded</t>
        </is>
      </c>
    </row>
    <row r="14">
      <c r="A14" t="n">
        <v>5</v>
      </c>
      <c r="B14" t="n">
        <v>13</v>
      </c>
      <c r="C14" s="3" t="n">
        <v>0.009555376226323107</v>
      </c>
      <c r="D14" t="n">
        <v>135</v>
      </c>
      <c r="E14" t="n">
        <v>544</v>
      </c>
      <c r="F14" t="inlineStr"/>
    </row>
    <row r="15">
      <c r="A15" t="n">
        <v>5</v>
      </c>
      <c r="B15" t="n">
        <v>14</v>
      </c>
      <c r="C15" s="3" t="n">
        <v>0.002518630722478133</v>
      </c>
      <c r="D15" t="n">
        <v>376</v>
      </c>
      <c r="E15" t="n">
        <v>860</v>
      </c>
      <c r="F15" t="inlineStr"/>
    </row>
    <row r="16">
      <c r="A16" t="n">
        <v>5</v>
      </c>
      <c r="B16" t="n">
        <v>15</v>
      </c>
      <c r="C16" s="3" t="n">
        <v>0.003170892619904654</v>
      </c>
      <c r="D16" t="n">
        <v>208</v>
      </c>
      <c r="E16" t="n">
        <v>584</v>
      </c>
      <c r="F16" t="inlineStr"/>
    </row>
    <row r="17">
      <c r="A17" t="n">
        <v>5</v>
      </c>
      <c r="B17" t="n">
        <v>16</v>
      </c>
      <c r="C17" s="3" t="n">
        <v>0.01050051066261701</v>
      </c>
      <c r="D17" t="n">
        <v>142</v>
      </c>
      <c r="E17" t="n">
        <v>2397</v>
      </c>
      <c r="F17" t="inlineStr"/>
    </row>
    <row r="18">
      <c r="A18" t="n">
        <v>5</v>
      </c>
      <c r="B18" t="n">
        <v>17</v>
      </c>
      <c r="C18" s="3" t="n">
        <v>0.007984992984448536</v>
      </c>
      <c r="D18" t="n">
        <v>200</v>
      </c>
      <c r="E18" t="n">
        <v>259</v>
      </c>
      <c r="F18" t="inlineStr"/>
    </row>
    <row r="19">
      <c r="A19" t="n">
        <v>5</v>
      </c>
      <c r="B19" t="n">
        <v>18</v>
      </c>
      <c r="C19" s="3" t="n">
        <v>0.002886281573491068</v>
      </c>
      <c r="D19" t="n">
        <v>191</v>
      </c>
      <c r="E19" t="n">
        <v>2244</v>
      </c>
      <c r="F19" t="inlineStr"/>
    </row>
    <row r="20">
      <c r="A20" t="n">
        <v>5</v>
      </c>
      <c r="B20" t="n">
        <v>19</v>
      </c>
      <c r="C20" s="3" t="n">
        <v>0.005196896136594677</v>
      </c>
      <c r="D20" t="n">
        <v>261</v>
      </c>
      <c r="E20" t="n">
        <v>593</v>
      </c>
      <c r="F20" t="inlineStr"/>
    </row>
    <row r="21">
      <c r="A21" t="n">
        <v>5</v>
      </c>
      <c r="B21" t="n">
        <v>20</v>
      </c>
      <c r="C21" s="3" t="n">
        <v>0.002828510499576174</v>
      </c>
      <c r="D21" t="n">
        <v>397</v>
      </c>
      <c r="E21" t="n">
        <v>711</v>
      </c>
      <c r="F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0" customWidth="1" min="3" max="3"/>
    <col width="18" customWidth="1" min="4" max="4"/>
    <col width="20" customWidth="1" min="5" max="5"/>
    <col width="40" customWidth="1" min="6" max="6"/>
    <col width="3" customWidth="1" min="7" max="7"/>
    <col width="30" customWidth="1" min="8" max="8"/>
    <col width="14" customWidth="1" min="9" max="9"/>
  </cols>
  <sheetData>
    <row r="1">
      <c r="A1" s="1" t="inlineStr">
        <is>
          <t>Polluting rate</t>
        </is>
      </c>
      <c r="B1" s="1" t="inlineStr">
        <is>
          <t>Run</t>
        </is>
      </c>
      <c r="C1" s="1" t="inlineStr">
        <is>
          <t>Pollution at tick 100</t>
        </is>
      </c>
      <c r="D1" s="1" t="inlineStr">
        <is>
          <t>People at tick 100</t>
        </is>
      </c>
      <c r="E1" s="1" t="inlineStr">
        <is>
          <t>Collapse time (years)</t>
        </is>
      </c>
      <c r="F1" s="1" t="inlineStr">
        <is>
          <t>Notes</t>
        </is>
      </c>
      <c r="H1" s="2" t="inlineStr">
        <is>
          <t>Summary</t>
        </is>
      </c>
    </row>
    <row r="2">
      <c r="A2" t="n">
        <v>7</v>
      </c>
      <c r="B2" t="n">
        <v>1</v>
      </c>
      <c r="C2" s="3" t="n">
        <v>0.01572566379305319</v>
      </c>
      <c r="D2" t="n">
        <v>280</v>
      </c>
      <c r="E2" s="5" t="n"/>
      <c r="F2" t="inlineStr">
        <is>
          <t>no collapse (reached 3000) - excluded</t>
        </is>
      </c>
      <c r="H2" t="inlineStr">
        <is>
          <t>Runs with a pollution value</t>
        </is>
      </c>
      <c r="I2">
        <f>COUNT(C2:C21)</f>
        <v/>
      </c>
    </row>
    <row r="3">
      <c r="A3" t="n">
        <v>7</v>
      </c>
      <c r="B3" t="n">
        <v>2</v>
      </c>
      <c r="C3" s="3" t="n">
        <v>0.003922624706880138</v>
      </c>
      <c r="D3" t="n">
        <v>313</v>
      </c>
      <c r="E3" t="n">
        <v>526</v>
      </c>
      <c r="F3" t="inlineStr"/>
      <c r="H3" t="inlineStr">
        <is>
          <t>Mean pollution at tick 100</t>
        </is>
      </c>
      <c r="I3" s="3">
        <f>AVERAGE(C2:C21)</f>
        <v/>
      </c>
    </row>
    <row r="4">
      <c r="A4" t="n">
        <v>7</v>
      </c>
      <c r="B4" t="n">
        <v>3</v>
      </c>
      <c r="C4" s="3" t="n">
        <v>0.005040076830147322</v>
      </c>
      <c r="D4" t="n">
        <v>455</v>
      </c>
      <c r="E4" t="n">
        <v>823</v>
      </c>
      <c r="F4" t="inlineStr"/>
      <c r="H4" t="inlineStr">
        <is>
          <t>Median pollution at tick 100</t>
        </is>
      </c>
      <c r="I4" s="3">
        <f>MEDIAN(C2:C21)</f>
        <v/>
      </c>
    </row>
    <row r="5">
      <c r="A5" t="n">
        <v>7</v>
      </c>
      <c r="B5" t="n">
        <v>4</v>
      </c>
      <c r="C5" s="3" t="n">
        <v>0.02344218664906738</v>
      </c>
      <c r="D5" t="n">
        <v>148</v>
      </c>
      <c r="E5" t="n">
        <v>885</v>
      </c>
      <c r="F5" t="inlineStr"/>
      <c r="H5" t="inlineStr">
        <is>
          <t>Runs that collapsed (valid)</t>
        </is>
      </c>
      <c r="I5">
        <f>COUNT(E2:E21)</f>
        <v/>
      </c>
    </row>
    <row r="6">
      <c r="A6" t="n">
        <v>7</v>
      </c>
      <c r="B6" t="n">
        <v>5</v>
      </c>
      <c r="C6" s="3" t="n">
        <v>0.01111080286382958</v>
      </c>
      <c r="D6" t="n">
        <v>276</v>
      </c>
      <c r="E6" t="n">
        <v>422</v>
      </c>
      <c r="F6" t="inlineStr"/>
      <c r="H6" t="inlineStr">
        <is>
          <t>Runs excluded (no collapse)</t>
        </is>
      </c>
      <c r="I6">
        <f>COUNT(B2:B21)-COUNT(E2:E21)</f>
        <v/>
      </c>
    </row>
    <row r="7">
      <c r="A7" t="n">
        <v>7</v>
      </c>
      <c r="B7" t="n">
        <v>6</v>
      </c>
      <c r="C7" s="3" t="n">
        <v>0.008014141816669625</v>
      </c>
      <c r="D7" t="n">
        <v>453</v>
      </c>
      <c r="E7" t="n">
        <v>471</v>
      </c>
      <c r="F7" t="inlineStr"/>
      <c r="H7" t="inlineStr">
        <is>
          <t>Mean collapse time</t>
        </is>
      </c>
      <c r="I7" s="4">
        <f>AVERAGE(E2:E21)</f>
        <v/>
      </c>
    </row>
    <row r="8">
      <c r="A8" t="n">
        <v>7</v>
      </c>
      <c r="B8" t="n">
        <v>7</v>
      </c>
      <c r="C8" s="3" t="n">
        <v>0.00345185303344807</v>
      </c>
      <c r="D8" t="n">
        <v>395</v>
      </c>
      <c r="E8" t="n">
        <v>1165</v>
      </c>
      <c r="F8" t="inlineStr"/>
      <c r="H8" t="inlineStr">
        <is>
          <t>Median collapse time</t>
        </is>
      </c>
      <c r="I8">
        <f>MEDIAN(E2:E21)</f>
        <v/>
      </c>
    </row>
    <row r="9">
      <c r="A9" t="n">
        <v>7</v>
      </c>
      <c r="B9" t="n">
        <v>8</v>
      </c>
      <c r="C9" s="3" t="n">
        <v>0.02084173679737154</v>
      </c>
      <c r="D9" t="n">
        <v>55</v>
      </c>
      <c r="E9" t="n">
        <v>164</v>
      </c>
      <c r="F9" t="inlineStr"/>
      <c r="H9" t="inlineStr">
        <is>
          <t>Min collapse time</t>
        </is>
      </c>
      <c r="I9">
        <f>MIN(E2:E21)</f>
        <v/>
      </c>
    </row>
    <row r="10">
      <c r="A10" t="n">
        <v>7</v>
      </c>
      <c r="B10" t="n">
        <v>9</v>
      </c>
      <c r="C10" s="3" t="n">
        <v>0.005283536146403332</v>
      </c>
      <c r="D10" t="n">
        <v>404</v>
      </c>
      <c r="E10" s="5" t="n"/>
      <c r="F10" t="inlineStr">
        <is>
          <t>no collapse (reached 3000) - excluded</t>
        </is>
      </c>
      <c r="H10" t="inlineStr">
        <is>
          <t>Max collapse time</t>
        </is>
      </c>
      <c r="I10">
        <f>MAX(E2:E21)</f>
        <v/>
      </c>
    </row>
    <row r="11">
      <c r="A11" t="n">
        <v>7</v>
      </c>
      <c r="B11" t="n">
        <v>10</v>
      </c>
      <c r="C11" s="3" t="n">
        <v>0.0343973036304921</v>
      </c>
      <c r="D11" t="n">
        <v>14</v>
      </c>
      <c r="E11" t="n">
        <v>145</v>
      </c>
      <c r="F11" t="inlineStr"/>
    </row>
    <row r="12">
      <c r="A12" t="n">
        <v>7</v>
      </c>
      <c r="B12" t="n">
        <v>11</v>
      </c>
      <c r="C12" s="3" t="n">
        <v>0.005171381642363085</v>
      </c>
      <c r="D12" t="n">
        <v>493</v>
      </c>
      <c r="E12" t="n">
        <v>397</v>
      </c>
      <c r="F12" t="inlineStr"/>
    </row>
    <row r="13">
      <c r="A13" t="n">
        <v>7</v>
      </c>
      <c r="B13" t="n">
        <v>12</v>
      </c>
      <c r="C13" s="3" t="n">
        <v>0.009079932475075672</v>
      </c>
      <c r="D13" t="n">
        <v>257</v>
      </c>
      <c r="E13" t="n">
        <v>487</v>
      </c>
      <c r="F13" t="inlineStr"/>
    </row>
    <row r="14">
      <c r="A14" t="n">
        <v>7</v>
      </c>
      <c r="B14" t="n">
        <v>13</v>
      </c>
      <c r="C14" s="3" t="n">
        <v>0.009758103260820125</v>
      </c>
      <c r="D14" t="n">
        <v>216</v>
      </c>
      <c r="E14" t="n">
        <v>294</v>
      </c>
      <c r="F14" t="inlineStr"/>
    </row>
    <row r="15">
      <c r="A15" t="n">
        <v>7</v>
      </c>
      <c r="B15" t="n">
        <v>14</v>
      </c>
      <c r="C15" s="3" t="n">
        <v>0.01545420613116499</v>
      </c>
      <c r="D15" t="n">
        <v>78</v>
      </c>
      <c r="E15" t="n">
        <v>469</v>
      </c>
      <c r="F15" t="inlineStr"/>
    </row>
    <row r="16">
      <c r="A16" t="n">
        <v>7</v>
      </c>
      <c r="B16" t="n">
        <v>15</v>
      </c>
      <c r="C16" s="3" t="n">
        <v>0.003125414407313417</v>
      </c>
      <c r="D16" t="n">
        <v>440</v>
      </c>
      <c r="E16" t="n">
        <v>336</v>
      </c>
      <c r="F16" t="inlineStr"/>
    </row>
    <row r="17">
      <c r="A17" t="n">
        <v>7</v>
      </c>
      <c r="B17" t="n">
        <v>16</v>
      </c>
      <c r="C17" s="3" t="n">
        <v>0.002952828196615347</v>
      </c>
      <c r="D17" t="n">
        <v>518</v>
      </c>
      <c r="E17" t="n">
        <v>497</v>
      </c>
      <c r="F17" t="inlineStr"/>
    </row>
    <row r="18">
      <c r="A18" t="n">
        <v>7</v>
      </c>
      <c r="B18" t="n">
        <v>17</v>
      </c>
      <c r="C18" s="3" t="n">
        <v>0.008571717362102596</v>
      </c>
      <c r="D18" t="n">
        <v>285</v>
      </c>
      <c r="E18" t="n">
        <v>375</v>
      </c>
      <c r="F18" t="inlineStr"/>
    </row>
    <row r="19">
      <c r="A19" t="n">
        <v>7</v>
      </c>
      <c r="B19" t="n">
        <v>18</v>
      </c>
      <c r="C19" s="3" t="n">
        <v>0.009258293784170677</v>
      </c>
      <c r="D19" t="n">
        <v>44</v>
      </c>
      <c r="E19" t="n">
        <v>244</v>
      </c>
      <c r="F19" t="inlineStr"/>
    </row>
    <row r="20">
      <c r="A20" t="n">
        <v>7</v>
      </c>
      <c r="B20" t="n">
        <v>19</v>
      </c>
      <c r="C20" s="3" t="n">
        <v>0.003004084119866465</v>
      </c>
      <c r="D20" t="n">
        <v>501</v>
      </c>
      <c r="E20" s="5" t="n"/>
      <c r="F20" t="inlineStr">
        <is>
          <t>no collapse (reached 3000) - excluded</t>
        </is>
      </c>
    </row>
    <row r="21">
      <c r="A21" t="n">
        <v>7</v>
      </c>
      <c r="B21" t="n">
        <v>20</v>
      </c>
      <c r="C21" s="3" t="n">
        <v>0.007851811948793664</v>
      </c>
      <c r="D21" t="n">
        <v>72</v>
      </c>
      <c r="E21" t="n">
        <v>289</v>
      </c>
      <c r="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2026-10-09T23:56:33Z</dcterms:created>
  <dcterms:modified xmlns:dcterms="http://purl.org/dc/terms/" xmlns:xsi="http://www.w3.org/2001/XMLSchema-instance" xsi:type="dcterms:W3CDTF">2026-10-09T23:56:33Z</dcterms:modified>
</cp:coreProperties>
</file>