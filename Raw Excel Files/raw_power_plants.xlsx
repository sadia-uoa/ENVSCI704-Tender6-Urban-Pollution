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"/>
    </mc:Choice>
  </mc:AlternateContent>
  <xr:revisionPtr revIDLastSave="0" documentId="11_F8314B0B299044B20917158C52BC572DCF745AC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Plants_1" sheetId="1" r:id="rId1"/>
    <sheet name="PowerPlants_2" sheetId="2" r:id="rId2"/>
    <sheet name="PowerPlants_4" sheetId="3" r:id="rId3"/>
    <sheet name="PowerPlants_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4"/>
  <c r="I8" i="4"/>
  <c r="I7" i="4"/>
  <c r="I6" i="4"/>
  <c r="I5" i="4"/>
  <c r="I4" i="4"/>
  <c r="I3" i="4"/>
  <c r="I2" i="4"/>
  <c r="I10" i="3"/>
  <c r="I9" i="3"/>
  <c r="I8" i="3"/>
  <c r="I7" i="3"/>
  <c r="I6" i="3"/>
  <c r="I5" i="3"/>
  <c r="I4" i="3"/>
  <c r="I3" i="3"/>
  <c r="I2" i="3"/>
  <c r="I10" i="2"/>
  <c r="I9" i="2"/>
  <c r="I8" i="2"/>
  <c r="I7" i="2"/>
  <c r="I6" i="2"/>
  <c r="I5" i="2"/>
  <c r="I4" i="2"/>
  <c r="I3" i="2"/>
  <c r="I2" i="2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<sst xmlns="http://schemas.openxmlformats.org/spreadsheetml/2006/main" count="73" uniqueCount="18">
  <si>
    <t>Power plants</t>
  </si>
  <si>
    <t>Run</t>
  </si>
  <si>
    <t>Pollution at tick 100</t>
  </si>
  <si>
    <t>People at tick 100</t>
  </si>
  <si>
    <t>Collapse time (years)</t>
  </si>
  <si>
    <t>Notes</t>
  </si>
  <si>
    <t>Summary</t>
  </si>
  <si>
    <t>Runs with a pollution value</t>
  </si>
  <si>
    <t>Mean pollution at tick 100</t>
  </si>
  <si>
    <t>Median pollution at tick 100</t>
  </si>
  <si>
    <t>Runs that collapsed (valid)</t>
  </si>
  <si>
    <t>Runs excluded (no collapse)</t>
  </si>
  <si>
    <t>Mean collapse time</t>
  </si>
  <si>
    <t>Median collapse time</t>
  </si>
  <si>
    <t>Min collapse time</t>
  </si>
  <si>
    <t>Max collapse time</t>
  </si>
  <si>
    <t>Leave a collapse cell EMPTY if the run hit 3000 (no collapse).</t>
  </si>
  <si>
    <t>no collapse (reached 3000) -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</si>
</sst>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D2B"/>
      </patternFill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4.4" x14ac:dyDescent="0.3"/>
  <cols>
    <col min="1" max="1" width="13" customWidth="1"/>
    <col min="2" max="2" width="6" customWidth="1"/>
    <col min="3" max="3" width="20" customWidth="1"/>
    <col min="4" max="4" width="18" customWidth="1"/>
    <col min="5" max="5" width="20" customWidth="1"/>
    <col min="6" max="6" width="36" customWidth="1"/>
    <col min="7" max="7" width="3" customWidth="1"/>
    <col min="8" max="8" width="30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9" x14ac:dyDescent="0.3">
      <c r="A2">
        <v>1</v>
      </c>
      <c r="B2">
        <v>1</v>
      </c>
      <c r="C2" s="3">
        <v>1.3559955213783381E-3</v>
      </c>
      <c r="D2">
        <v>352</v>
      </c>
      <c r="E2">
        <v>260</v>
      </c>
      <c r="H2" t="s">
        <v>7</v>
      </c>
      <c r="I2">
        <f>COUNT(C2:C21)</f>
        <v>20</v>
      </c>
    </row>
    <row r="3" spans="1:9" x14ac:dyDescent="0.3">
      <c r="A3">
        <v>1</v>
      </c>
      <c r="B3">
        <v>2</v>
      </c>
      <c r="C3" s="3">
        <v>1.5793801766953611E-3</v>
      </c>
      <c r="D3">
        <v>404</v>
      </c>
      <c r="E3">
        <v>548</v>
      </c>
      <c r="H3" t="s">
        <v>8</v>
      </c>
      <c r="I3" s="3">
        <f>IFERROR(AVERAGE(C2:C21),"")</f>
        <v>1.6565041983010165E-3</v>
      </c>
    </row>
    <row r="4" spans="1:9" x14ac:dyDescent="0.3">
      <c r="A4">
        <v>1</v>
      </c>
      <c r="B4">
        <v>3</v>
      </c>
      <c r="C4" s="3">
        <v>2.3127583461593818E-13</v>
      </c>
      <c r="D4">
        <v>587</v>
      </c>
      <c r="E4">
        <v>693</v>
      </c>
      <c r="H4" t="s">
        <v>9</v>
      </c>
      <c r="I4" s="3">
        <f>IFERROR(MEDIAN(C2:C21),"")</f>
        <v>1.1431015869486031E-3</v>
      </c>
    </row>
    <row r="5" spans="1:9" x14ac:dyDescent="0.3">
      <c r="A5">
        <v>1</v>
      </c>
      <c r="B5">
        <v>4</v>
      </c>
      <c r="C5" s="3">
        <v>8.3741318247210314E-4</v>
      </c>
      <c r="D5">
        <v>305</v>
      </c>
      <c r="E5">
        <v>1301</v>
      </c>
      <c r="H5" t="s">
        <v>10</v>
      </c>
      <c r="I5">
        <f>COUNT(E2:E21)</f>
        <v>17</v>
      </c>
    </row>
    <row r="6" spans="1:9" x14ac:dyDescent="0.3">
      <c r="A6">
        <v>1</v>
      </c>
      <c r="B6">
        <v>5</v>
      </c>
      <c r="C6" s="3">
        <v>4.7507103023554402E-3</v>
      </c>
      <c r="D6">
        <v>308</v>
      </c>
      <c r="E6">
        <v>476</v>
      </c>
      <c r="H6" t="s">
        <v>11</v>
      </c>
      <c r="I6">
        <f>COUNT(B2:B21)-COUNT(E2:E21)-COUNTBLANK(C2:C21)</f>
        <v>3</v>
      </c>
    </row>
    <row r="7" spans="1:9" x14ac:dyDescent="0.3">
      <c r="A7">
        <v>1</v>
      </c>
      <c r="B7">
        <v>6</v>
      </c>
      <c r="C7" s="3">
        <v>1.6958886624433591E-3</v>
      </c>
      <c r="D7">
        <v>215</v>
      </c>
      <c r="E7">
        <v>369</v>
      </c>
      <c r="H7" t="s">
        <v>12</v>
      </c>
      <c r="I7" s="4">
        <f>IFERROR(AVERAGE(E2:E21),"")</f>
        <v>717.76470588235293</v>
      </c>
    </row>
    <row r="8" spans="1:9" x14ac:dyDescent="0.3">
      <c r="A8">
        <v>1</v>
      </c>
      <c r="B8">
        <v>7</v>
      </c>
      <c r="C8" s="3">
        <v>6.7841025796482599E-4</v>
      </c>
      <c r="D8">
        <v>230</v>
      </c>
      <c r="E8">
        <v>430</v>
      </c>
      <c r="H8" t="s">
        <v>13</v>
      </c>
      <c r="I8">
        <f>IFERROR(MEDIAN(E2:E21),"")</f>
        <v>476</v>
      </c>
    </row>
    <row r="9" spans="1:9" x14ac:dyDescent="0.3">
      <c r="A9">
        <v>1</v>
      </c>
      <c r="B9">
        <v>8</v>
      </c>
      <c r="C9" s="3">
        <v>6.4802260981499582E-3</v>
      </c>
      <c r="D9">
        <v>147</v>
      </c>
      <c r="E9">
        <v>708</v>
      </c>
      <c r="H9" t="s">
        <v>14</v>
      </c>
      <c r="I9">
        <f>IFERROR(MIN(E2:E21),"")</f>
        <v>173</v>
      </c>
    </row>
    <row r="10" spans="1:9" x14ac:dyDescent="0.3">
      <c r="A10">
        <v>1</v>
      </c>
      <c r="B10">
        <v>9</v>
      </c>
      <c r="C10" s="3">
        <v>3.3914957706873081E-4</v>
      </c>
      <c r="D10">
        <v>488</v>
      </c>
      <c r="E10">
        <v>1295</v>
      </c>
      <c r="H10" t="s">
        <v>15</v>
      </c>
      <c r="I10">
        <f>IFERROR(MAX(E2:E21),"")</f>
        <v>2258</v>
      </c>
    </row>
    <row r="11" spans="1:9" x14ac:dyDescent="0.3">
      <c r="A11">
        <v>1</v>
      </c>
      <c r="B11">
        <v>10</v>
      </c>
      <c r="C11" s="3">
        <v>3.645255382260197E-3</v>
      </c>
      <c r="D11">
        <v>54</v>
      </c>
      <c r="E11">
        <v>2258</v>
      </c>
    </row>
    <row r="12" spans="1:9" x14ac:dyDescent="0.3">
      <c r="A12">
        <v>1</v>
      </c>
      <c r="B12">
        <v>11</v>
      </c>
      <c r="C12" s="3">
        <v>1.144402684129203E-3</v>
      </c>
      <c r="D12">
        <v>415</v>
      </c>
      <c r="E12">
        <v>1641</v>
      </c>
      <c r="H12" s="5" t="s">
        <v>16</v>
      </c>
    </row>
    <row r="13" spans="1:9" x14ac:dyDescent="0.3">
      <c r="A13">
        <v>1</v>
      </c>
      <c r="B13">
        <v>12</v>
      </c>
      <c r="C13" s="3">
        <v>4.4712750648989301E-4</v>
      </c>
      <c r="D13">
        <v>195</v>
      </c>
      <c r="E13">
        <v>298</v>
      </c>
    </row>
    <row r="14" spans="1:9" x14ac:dyDescent="0.3">
      <c r="A14">
        <v>1</v>
      </c>
      <c r="B14">
        <v>13</v>
      </c>
      <c r="C14" s="3">
        <v>5.943484421268788E-4</v>
      </c>
      <c r="D14">
        <v>461</v>
      </c>
      <c r="E14" s="6"/>
      <c r="F14" t="s">
        <v>17</v>
      </c>
    </row>
    <row r="15" spans="1:9" x14ac:dyDescent="0.3">
      <c r="A15">
        <v>1</v>
      </c>
      <c r="B15">
        <v>14</v>
      </c>
      <c r="C15" s="3">
        <v>1.141800489768003E-3</v>
      </c>
      <c r="D15">
        <v>183</v>
      </c>
      <c r="E15" s="6"/>
      <c r="F15" t="s">
        <v>17</v>
      </c>
    </row>
    <row r="16" spans="1:9" x14ac:dyDescent="0.3">
      <c r="A16">
        <v>1</v>
      </c>
      <c r="B16">
        <v>15</v>
      </c>
      <c r="C16" s="3">
        <v>8.8358294174024151E-4</v>
      </c>
      <c r="D16">
        <v>246</v>
      </c>
      <c r="E16">
        <v>652</v>
      </c>
    </row>
    <row r="17" spans="1:6" x14ac:dyDescent="0.3">
      <c r="A17">
        <v>1</v>
      </c>
      <c r="B17">
        <v>16</v>
      </c>
      <c r="C17" s="3">
        <v>7.3590464149460516E-4</v>
      </c>
      <c r="D17">
        <v>183</v>
      </c>
      <c r="E17">
        <v>420</v>
      </c>
    </row>
    <row r="18" spans="1:6" x14ac:dyDescent="0.3">
      <c r="A18">
        <v>1</v>
      </c>
      <c r="B18">
        <v>17</v>
      </c>
      <c r="C18" s="3">
        <v>1.10502951197488E-3</v>
      </c>
      <c r="D18">
        <v>152</v>
      </c>
      <c r="E18">
        <v>246</v>
      </c>
    </row>
    <row r="19" spans="1:6" x14ac:dyDescent="0.3">
      <c r="A19">
        <v>1</v>
      </c>
      <c r="B19">
        <v>18</v>
      </c>
      <c r="C19" s="3">
        <v>1.205558345346584E-3</v>
      </c>
      <c r="D19">
        <v>198</v>
      </c>
      <c r="E19">
        <v>173</v>
      </c>
    </row>
    <row r="20" spans="1:6" x14ac:dyDescent="0.3">
      <c r="A20">
        <v>1</v>
      </c>
      <c r="B20">
        <v>19</v>
      </c>
      <c r="C20" s="3">
        <v>2.5755518690076941E-3</v>
      </c>
      <c r="D20">
        <v>179</v>
      </c>
      <c r="E20">
        <v>434</v>
      </c>
    </row>
    <row r="21" spans="1:6" x14ac:dyDescent="0.3">
      <c r="A21">
        <v>1</v>
      </c>
      <c r="B21">
        <v>20</v>
      </c>
      <c r="C21" s="3">
        <v>1.9343483729227619E-3</v>
      </c>
      <c r="D21">
        <v>124</v>
      </c>
      <c r="E21" s="6"/>
      <c r="F2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4.4" x14ac:dyDescent="0.3"/>
  <cols>
    <col min="1" max="1" width="13" customWidth="1"/>
    <col min="2" max="2" width="6" customWidth="1"/>
    <col min="3" max="3" width="20" customWidth="1"/>
    <col min="4" max="4" width="18" customWidth="1"/>
    <col min="5" max="5" width="20" customWidth="1"/>
    <col min="6" max="6" width="36" customWidth="1"/>
    <col min="7" max="7" width="3" customWidth="1"/>
    <col min="8" max="8" width="30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9" x14ac:dyDescent="0.3">
      <c r="A2">
        <v>2</v>
      </c>
      <c r="B2">
        <v>1</v>
      </c>
      <c r="C2" s="3">
        <v>1.873536114582602E-3</v>
      </c>
      <c r="D2">
        <v>200</v>
      </c>
      <c r="E2" s="6"/>
      <c r="F2" t="s">
        <v>17</v>
      </c>
      <c r="H2" t="s">
        <v>7</v>
      </c>
      <c r="I2">
        <f>COUNT(C2:C21)</f>
        <v>20</v>
      </c>
    </row>
    <row r="3" spans="1:9" x14ac:dyDescent="0.3">
      <c r="A3">
        <v>2</v>
      </c>
      <c r="B3">
        <v>2</v>
      </c>
      <c r="C3" s="3">
        <v>6.4489631512487716E-3</v>
      </c>
      <c r="D3">
        <v>63</v>
      </c>
      <c r="E3">
        <v>345</v>
      </c>
      <c r="H3" t="s">
        <v>8</v>
      </c>
      <c r="I3" s="3">
        <f>IFERROR(AVERAGE(C2:C21),"")</f>
        <v>2.1101275163515091E-3</v>
      </c>
    </row>
    <row r="4" spans="1:9" x14ac:dyDescent="0.3">
      <c r="A4">
        <v>2</v>
      </c>
      <c r="B4">
        <v>3</v>
      </c>
      <c r="C4" s="3">
        <v>8.2828451887969983E-4</v>
      </c>
      <c r="D4">
        <v>399</v>
      </c>
      <c r="E4">
        <v>1104</v>
      </c>
      <c r="H4" t="s">
        <v>9</v>
      </c>
      <c r="I4" s="3">
        <f>IFERROR(MEDIAN(C2:C21),"")</f>
        <v>1.6902597265949374E-3</v>
      </c>
    </row>
    <row r="5" spans="1:9" x14ac:dyDescent="0.3">
      <c r="A5">
        <v>2</v>
      </c>
      <c r="B5">
        <v>4</v>
      </c>
      <c r="C5" s="3">
        <v>1.3184568697478889E-3</v>
      </c>
      <c r="D5">
        <v>394</v>
      </c>
      <c r="E5">
        <v>385</v>
      </c>
      <c r="H5" t="s">
        <v>10</v>
      </c>
      <c r="I5">
        <f>COUNT(E2:E21)</f>
        <v>18</v>
      </c>
    </row>
    <row r="6" spans="1:9" x14ac:dyDescent="0.3">
      <c r="A6">
        <v>2</v>
      </c>
      <c r="B6">
        <v>5</v>
      </c>
      <c r="C6" s="3">
        <v>4.5856307376586046E-3</v>
      </c>
      <c r="D6">
        <v>281</v>
      </c>
      <c r="E6">
        <v>628</v>
      </c>
      <c r="H6" t="s">
        <v>11</v>
      </c>
      <c r="I6">
        <f>COUNT(B2:B21)-COUNT(E2:E21)-COUNTBLANK(C2:C21)</f>
        <v>2</v>
      </c>
    </row>
    <row r="7" spans="1:9" x14ac:dyDescent="0.3">
      <c r="A7">
        <v>2</v>
      </c>
      <c r="B7">
        <v>6</v>
      </c>
      <c r="C7" s="3">
        <v>2.448634055060937E-3</v>
      </c>
      <c r="D7">
        <v>111</v>
      </c>
      <c r="E7">
        <v>2838</v>
      </c>
      <c r="H7" t="s">
        <v>12</v>
      </c>
      <c r="I7" s="4">
        <f>IFERROR(AVERAGE(E2:E21),"")</f>
        <v>876.11111111111109</v>
      </c>
    </row>
    <row r="8" spans="1:9" x14ac:dyDescent="0.3">
      <c r="A8">
        <v>2</v>
      </c>
      <c r="B8">
        <v>7</v>
      </c>
      <c r="C8" s="3">
        <v>9.363245865469797E-4</v>
      </c>
      <c r="D8">
        <v>229</v>
      </c>
      <c r="E8">
        <v>246</v>
      </c>
      <c r="H8" t="s">
        <v>13</v>
      </c>
      <c r="I8">
        <f>IFERROR(MEDIAN(E2:E21),"")</f>
        <v>638.5</v>
      </c>
    </row>
    <row r="9" spans="1:9" x14ac:dyDescent="0.3">
      <c r="A9">
        <v>2</v>
      </c>
      <c r="B9">
        <v>8</v>
      </c>
      <c r="C9" s="3">
        <v>4.2502951547213619E-3</v>
      </c>
      <c r="D9">
        <v>126</v>
      </c>
      <c r="E9">
        <v>161</v>
      </c>
      <c r="H9" t="s">
        <v>14</v>
      </c>
      <c r="I9">
        <f>IFERROR(MIN(E2:E21),"")</f>
        <v>147</v>
      </c>
    </row>
    <row r="10" spans="1:9" x14ac:dyDescent="0.3">
      <c r="A10">
        <v>2</v>
      </c>
      <c r="B10">
        <v>9</v>
      </c>
      <c r="C10" s="3">
        <v>1.7064147088461049E-3</v>
      </c>
      <c r="D10">
        <v>166</v>
      </c>
      <c r="E10">
        <v>179</v>
      </c>
      <c r="H10" t="s">
        <v>15</v>
      </c>
      <c r="I10">
        <f>IFERROR(MAX(E2:E21),"")</f>
        <v>2848</v>
      </c>
    </row>
    <row r="11" spans="1:9" x14ac:dyDescent="0.3">
      <c r="A11">
        <v>2</v>
      </c>
      <c r="B11">
        <v>10</v>
      </c>
      <c r="C11" s="3">
        <v>1.598957373472048E-3</v>
      </c>
      <c r="D11">
        <v>639</v>
      </c>
      <c r="E11">
        <v>1953</v>
      </c>
    </row>
    <row r="12" spans="1:9" x14ac:dyDescent="0.3">
      <c r="A12">
        <v>2</v>
      </c>
      <c r="B12">
        <v>11</v>
      </c>
      <c r="C12" s="3">
        <v>1.1387286471306211E-3</v>
      </c>
      <c r="D12">
        <v>379</v>
      </c>
      <c r="E12">
        <v>1166</v>
      </c>
      <c r="H12" s="5" t="s">
        <v>16</v>
      </c>
    </row>
    <row r="13" spans="1:9" x14ac:dyDescent="0.3">
      <c r="A13">
        <v>2</v>
      </c>
      <c r="B13">
        <v>12</v>
      </c>
      <c r="C13" s="3">
        <v>3.827627281478996E-3</v>
      </c>
      <c r="D13">
        <v>101</v>
      </c>
      <c r="E13">
        <v>147</v>
      </c>
    </row>
    <row r="14" spans="1:9" x14ac:dyDescent="0.3">
      <c r="A14">
        <v>2</v>
      </c>
      <c r="B14">
        <v>13</v>
      </c>
      <c r="C14" s="3">
        <v>2.0565105752558249E-3</v>
      </c>
      <c r="D14">
        <v>229</v>
      </c>
      <c r="E14">
        <v>704</v>
      </c>
    </row>
    <row r="15" spans="1:9" x14ac:dyDescent="0.3">
      <c r="A15">
        <v>2</v>
      </c>
      <c r="B15">
        <v>14</v>
      </c>
      <c r="C15" s="3">
        <v>1.5798109259247939E-3</v>
      </c>
      <c r="D15">
        <v>564</v>
      </c>
      <c r="E15" s="6"/>
      <c r="F15" t="s">
        <v>17</v>
      </c>
    </row>
    <row r="16" spans="1:9" x14ac:dyDescent="0.3">
      <c r="A16">
        <v>2</v>
      </c>
      <c r="B16">
        <v>15</v>
      </c>
      <c r="C16" s="3">
        <v>2.6400181584335328E-3</v>
      </c>
      <c r="D16">
        <v>353</v>
      </c>
      <c r="E16">
        <v>371</v>
      </c>
    </row>
    <row r="17" spans="1:5" x14ac:dyDescent="0.3">
      <c r="A17">
        <v>2</v>
      </c>
      <c r="B17">
        <v>16</v>
      </c>
      <c r="C17" s="3">
        <v>6.7084087366438825E-4</v>
      </c>
      <c r="D17">
        <v>374</v>
      </c>
      <c r="E17">
        <v>649</v>
      </c>
    </row>
    <row r="18" spans="1:5" x14ac:dyDescent="0.3">
      <c r="A18">
        <v>2</v>
      </c>
      <c r="B18">
        <v>17</v>
      </c>
      <c r="C18" s="3">
        <v>5.7190238788229117E-4</v>
      </c>
      <c r="D18">
        <v>845</v>
      </c>
      <c r="E18">
        <v>703</v>
      </c>
    </row>
    <row r="19" spans="1:5" x14ac:dyDescent="0.3">
      <c r="A19">
        <v>2</v>
      </c>
      <c r="B19">
        <v>18</v>
      </c>
      <c r="C19" s="3">
        <v>7.6205572389619334E-17</v>
      </c>
      <c r="D19">
        <v>783</v>
      </c>
      <c r="E19">
        <v>1099</v>
      </c>
    </row>
    <row r="20" spans="1:5" x14ac:dyDescent="0.3">
      <c r="A20">
        <v>2</v>
      </c>
      <c r="B20">
        <v>19</v>
      </c>
      <c r="C20" s="3">
        <v>2.0475094621508882E-3</v>
      </c>
      <c r="D20">
        <v>308</v>
      </c>
      <c r="E20">
        <v>2848</v>
      </c>
    </row>
    <row r="21" spans="1:5" x14ac:dyDescent="0.3">
      <c r="A21">
        <v>2</v>
      </c>
      <c r="B21">
        <v>20</v>
      </c>
      <c r="C21" s="3">
        <v>1.67410474434377E-3</v>
      </c>
      <c r="D21">
        <v>185</v>
      </c>
      <c r="E21">
        <v>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defaultRowHeight="14.4" x14ac:dyDescent="0.3"/>
  <cols>
    <col min="1" max="1" width="13" customWidth="1"/>
    <col min="2" max="2" width="6" customWidth="1"/>
    <col min="3" max="3" width="20" customWidth="1"/>
    <col min="4" max="4" width="18" customWidth="1"/>
    <col min="5" max="5" width="20" customWidth="1"/>
    <col min="6" max="6" width="36" customWidth="1"/>
    <col min="7" max="7" width="3" customWidth="1"/>
    <col min="8" max="8" width="30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9" x14ac:dyDescent="0.3">
      <c r="A2">
        <v>4</v>
      </c>
      <c r="B2">
        <v>1</v>
      </c>
      <c r="C2" s="3">
        <v>3.1130971944619249E-3</v>
      </c>
      <c r="D2">
        <v>465</v>
      </c>
      <c r="E2">
        <v>1640</v>
      </c>
      <c r="H2" t="s">
        <v>7</v>
      </c>
      <c r="I2">
        <f>COUNT(C2:C21)</f>
        <v>20</v>
      </c>
    </row>
    <row r="3" spans="1:9" x14ac:dyDescent="0.3">
      <c r="A3">
        <v>4</v>
      </c>
      <c r="B3">
        <v>2</v>
      </c>
      <c r="C3" s="3">
        <v>1.8605139642160001E-3</v>
      </c>
      <c r="D3">
        <v>458</v>
      </c>
      <c r="E3">
        <v>628</v>
      </c>
      <c r="H3" t="s">
        <v>8</v>
      </c>
      <c r="I3" s="3">
        <f>IFERROR(AVERAGE(C2:C21),"")</f>
        <v>5.5820945420734991E-3</v>
      </c>
    </row>
    <row r="4" spans="1:9" x14ac:dyDescent="0.3">
      <c r="A4">
        <v>4</v>
      </c>
      <c r="B4">
        <v>3</v>
      </c>
      <c r="C4" s="3">
        <v>1.5210962458612941E-2</v>
      </c>
      <c r="D4">
        <v>63</v>
      </c>
      <c r="E4">
        <v>422</v>
      </c>
      <c r="H4" t="s">
        <v>9</v>
      </c>
      <c r="I4" s="3">
        <f>IFERROR(MEDIAN(C2:C21),"")</f>
        <v>4.3839671810526016E-3</v>
      </c>
    </row>
    <row r="5" spans="1:9" x14ac:dyDescent="0.3">
      <c r="A5">
        <v>4</v>
      </c>
      <c r="B5">
        <v>4</v>
      </c>
      <c r="C5" s="3">
        <v>2.2085717717730429E-3</v>
      </c>
      <c r="D5">
        <v>344</v>
      </c>
      <c r="E5">
        <v>1192</v>
      </c>
      <c r="H5" t="s">
        <v>10</v>
      </c>
      <c r="I5">
        <f>COUNT(E2:E21)</f>
        <v>20</v>
      </c>
    </row>
    <row r="6" spans="1:9" x14ac:dyDescent="0.3">
      <c r="A6">
        <v>4</v>
      </c>
      <c r="B6">
        <v>5</v>
      </c>
      <c r="C6" s="3">
        <v>4.7412476537869097E-3</v>
      </c>
      <c r="D6">
        <v>228</v>
      </c>
      <c r="E6">
        <v>699</v>
      </c>
      <c r="H6" t="s">
        <v>11</v>
      </c>
      <c r="I6">
        <f>COUNT(B2:B21)-COUNT(E2:E21)-COUNTBLANK(C2:C21)</f>
        <v>0</v>
      </c>
    </row>
    <row r="7" spans="1:9" x14ac:dyDescent="0.3">
      <c r="A7">
        <v>4</v>
      </c>
      <c r="B7">
        <v>6</v>
      </c>
      <c r="C7" s="3">
        <v>3.3834604233408819E-3</v>
      </c>
      <c r="D7">
        <v>375</v>
      </c>
      <c r="E7">
        <v>326</v>
      </c>
      <c r="H7" t="s">
        <v>12</v>
      </c>
      <c r="I7" s="4">
        <f>IFERROR(AVERAGE(E2:E21),"")</f>
        <v>601.6</v>
      </c>
    </row>
    <row r="8" spans="1:9" x14ac:dyDescent="0.3">
      <c r="A8">
        <v>4</v>
      </c>
      <c r="B8">
        <v>7</v>
      </c>
      <c r="C8" s="3">
        <v>5.788606241046163E-3</v>
      </c>
      <c r="D8">
        <v>202</v>
      </c>
      <c r="E8">
        <v>461</v>
      </c>
      <c r="H8" t="s">
        <v>13</v>
      </c>
      <c r="I8">
        <f>IFERROR(MEDIAN(E2:E21),"")</f>
        <v>446</v>
      </c>
    </row>
    <row r="9" spans="1:9" x14ac:dyDescent="0.3">
      <c r="A9">
        <v>4</v>
      </c>
      <c r="B9">
        <v>8</v>
      </c>
      <c r="C9" s="3">
        <v>4.0266867083182936E-3</v>
      </c>
      <c r="D9">
        <v>250</v>
      </c>
      <c r="E9">
        <v>374</v>
      </c>
      <c r="H9" t="s">
        <v>14</v>
      </c>
      <c r="I9">
        <f>IFERROR(MIN(E2:E21),"")</f>
        <v>172</v>
      </c>
    </row>
    <row r="10" spans="1:9" x14ac:dyDescent="0.3">
      <c r="A10">
        <v>4</v>
      </c>
      <c r="B10">
        <v>9</v>
      </c>
      <c r="C10" s="3">
        <v>9.5593757924750059E-3</v>
      </c>
      <c r="D10">
        <v>132</v>
      </c>
      <c r="E10">
        <v>549</v>
      </c>
      <c r="H10" t="s">
        <v>15</v>
      </c>
      <c r="I10">
        <f>IFERROR(MAX(E2:E21),"")</f>
        <v>1640</v>
      </c>
    </row>
    <row r="11" spans="1:9" x14ac:dyDescent="0.3">
      <c r="A11">
        <v>4</v>
      </c>
      <c r="B11">
        <v>10</v>
      </c>
      <c r="C11" s="3">
        <v>1.2714759160414811E-2</v>
      </c>
      <c r="D11">
        <v>295</v>
      </c>
      <c r="E11">
        <v>431</v>
      </c>
    </row>
    <row r="12" spans="1:9" x14ac:dyDescent="0.3">
      <c r="A12">
        <v>4</v>
      </c>
      <c r="B12">
        <v>11</v>
      </c>
      <c r="C12" s="3">
        <v>6.8036336412397661E-3</v>
      </c>
      <c r="D12">
        <v>104</v>
      </c>
      <c r="E12">
        <v>176</v>
      </c>
      <c r="H12" s="5" t="s">
        <v>16</v>
      </c>
    </row>
    <row r="13" spans="1:9" x14ac:dyDescent="0.3">
      <c r="A13">
        <v>4</v>
      </c>
      <c r="B13">
        <v>12</v>
      </c>
      <c r="C13" s="3">
        <v>2.914799098903569E-3</v>
      </c>
      <c r="D13">
        <v>453</v>
      </c>
      <c r="E13">
        <v>508</v>
      </c>
    </row>
    <row r="14" spans="1:9" x14ac:dyDescent="0.3">
      <c r="A14">
        <v>4</v>
      </c>
      <c r="B14">
        <v>13</v>
      </c>
      <c r="C14" s="3">
        <v>1.2830978718826999E-2</v>
      </c>
      <c r="D14">
        <v>20</v>
      </c>
      <c r="E14">
        <v>275</v>
      </c>
    </row>
    <row r="15" spans="1:9" x14ac:dyDescent="0.3">
      <c r="A15">
        <v>4</v>
      </c>
      <c r="B15">
        <v>14</v>
      </c>
      <c r="C15" s="3">
        <v>1.7158534506489941E-3</v>
      </c>
      <c r="D15">
        <v>333</v>
      </c>
      <c r="E15">
        <v>719</v>
      </c>
    </row>
    <row r="16" spans="1:9" x14ac:dyDescent="0.3">
      <c r="A16">
        <v>4</v>
      </c>
      <c r="B16">
        <v>15</v>
      </c>
      <c r="C16" s="3">
        <v>4.8221661757801024E-3</v>
      </c>
      <c r="D16">
        <v>221</v>
      </c>
      <c r="E16">
        <v>231</v>
      </c>
    </row>
    <row r="17" spans="1:5" x14ac:dyDescent="0.3">
      <c r="A17">
        <v>4</v>
      </c>
      <c r="B17">
        <v>16</v>
      </c>
      <c r="C17" s="3">
        <v>2.7478099454973509E-3</v>
      </c>
      <c r="D17">
        <v>202</v>
      </c>
      <c r="E17">
        <v>172</v>
      </c>
    </row>
    <row r="18" spans="1:5" x14ac:dyDescent="0.3">
      <c r="A18">
        <v>4</v>
      </c>
      <c r="B18">
        <v>17</v>
      </c>
      <c r="C18" s="3">
        <v>3.7989006510537838E-3</v>
      </c>
      <c r="D18">
        <v>447</v>
      </c>
      <c r="E18">
        <v>1287</v>
      </c>
    </row>
    <row r="19" spans="1:5" x14ac:dyDescent="0.3">
      <c r="A19">
        <v>4</v>
      </c>
      <c r="B19">
        <v>18</v>
      </c>
      <c r="C19" s="3">
        <v>1.4306778671143621E-3</v>
      </c>
      <c r="D19">
        <v>423</v>
      </c>
      <c r="E19">
        <v>1354</v>
      </c>
    </row>
    <row r="20" spans="1:5" x14ac:dyDescent="0.3">
      <c r="A20">
        <v>4</v>
      </c>
      <c r="B20">
        <v>19</v>
      </c>
      <c r="C20" s="3">
        <v>6.7814416267142474E-3</v>
      </c>
      <c r="D20">
        <v>104</v>
      </c>
      <c r="E20">
        <v>191</v>
      </c>
    </row>
    <row r="21" spans="1:5" x14ac:dyDescent="0.3">
      <c r="A21">
        <v>4</v>
      </c>
      <c r="B21">
        <v>20</v>
      </c>
      <c r="C21" s="3">
        <v>5.1883482972448179E-3</v>
      </c>
      <c r="D21">
        <v>201</v>
      </c>
      <c r="E21">
        <v>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4.4" x14ac:dyDescent="0.3"/>
  <cols>
    <col min="1" max="1" width="13" customWidth="1"/>
    <col min="2" max="2" width="6" customWidth="1"/>
    <col min="3" max="3" width="20" customWidth="1"/>
    <col min="4" max="4" width="18" customWidth="1"/>
    <col min="5" max="5" width="20" customWidth="1"/>
    <col min="6" max="6" width="36" customWidth="1"/>
    <col min="7" max="7" width="3" customWidth="1"/>
    <col min="8" max="8" width="30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9" x14ac:dyDescent="0.3">
      <c r="A2">
        <v>6</v>
      </c>
      <c r="B2">
        <v>1</v>
      </c>
      <c r="C2" s="3">
        <v>5.9476545040352286E-3</v>
      </c>
      <c r="D2">
        <v>102</v>
      </c>
      <c r="E2">
        <v>215</v>
      </c>
      <c r="H2" t="s">
        <v>7</v>
      </c>
      <c r="I2">
        <f>COUNT(C2:C21)</f>
        <v>20</v>
      </c>
    </row>
    <row r="3" spans="1:9" x14ac:dyDescent="0.3">
      <c r="A3">
        <v>6</v>
      </c>
      <c r="B3">
        <v>2</v>
      </c>
      <c r="C3" s="3">
        <v>5.2602597996798091E-3</v>
      </c>
      <c r="D3">
        <v>87</v>
      </c>
      <c r="E3">
        <v>175</v>
      </c>
      <c r="H3" t="s">
        <v>8</v>
      </c>
      <c r="I3" s="3">
        <f>IFERROR(AVERAGE(C2:C21),"")</f>
        <v>9.5808986072648053E-3</v>
      </c>
    </row>
    <row r="4" spans="1:9" x14ac:dyDescent="0.3">
      <c r="A4">
        <v>6</v>
      </c>
      <c r="B4">
        <v>3</v>
      </c>
      <c r="C4" s="3">
        <v>8.1854859571464031E-3</v>
      </c>
      <c r="D4">
        <v>202</v>
      </c>
      <c r="E4">
        <v>329</v>
      </c>
      <c r="H4" t="s">
        <v>9</v>
      </c>
      <c r="I4" s="3">
        <f>IFERROR(MEDIAN(C2:C21),"")</f>
        <v>7.3328397324570992E-3</v>
      </c>
    </row>
    <row r="5" spans="1:9" x14ac:dyDescent="0.3">
      <c r="A5">
        <v>6</v>
      </c>
      <c r="B5">
        <v>4</v>
      </c>
      <c r="C5" s="3">
        <v>1.9031663836810899E-2</v>
      </c>
      <c r="D5">
        <v>84</v>
      </c>
      <c r="E5">
        <v>668</v>
      </c>
      <c r="H5" t="s">
        <v>10</v>
      </c>
      <c r="I5">
        <f>COUNT(E2:E21)</f>
        <v>20</v>
      </c>
    </row>
    <row r="6" spans="1:9" x14ac:dyDescent="0.3">
      <c r="A6">
        <v>6</v>
      </c>
      <c r="B6">
        <v>5</v>
      </c>
      <c r="C6" s="3">
        <v>3.9080517360046384E-3</v>
      </c>
      <c r="D6">
        <v>425</v>
      </c>
      <c r="E6">
        <v>1809</v>
      </c>
      <c r="H6" t="s">
        <v>11</v>
      </c>
      <c r="I6">
        <f>COUNT(B2:B21)-COUNT(E2:E21)-COUNTBLANK(C2:C21)</f>
        <v>0</v>
      </c>
    </row>
    <row r="7" spans="1:9" x14ac:dyDescent="0.3">
      <c r="A7">
        <v>6</v>
      </c>
      <c r="B7">
        <v>6</v>
      </c>
      <c r="C7" s="3">
        <v>2.070707248768526E-2</v>
      </c>
      <c r="D7">
        <v>112</v>
      </c>
      <c r="E7">
        <v>371</v>
      </c>
      <c r="H7" t="s">
        <v>12</v>
      </c>
      <c r="I7" s="4">
        <f>IFERROR(AVERAGE(E2:E21),"")</f>
        <v>496.55</v>
      </c>
    </row>
    <row r="8" spans="1:9" x14ac:dyDescent="0.3">
      <c r="A8">
        <v>6</v>
      </c>
      <c r="B8">
        <v>7</v>
      </c>
      <c r="C8" s="3">
        <v>3.3907314615297252E-3</v>
      </c>
      <c r="D8">
        <v>158</v>
      </c>
      <c r="E8">
        <v>219</v>
      </c>
      <c r="H8" t="s">
        <v>13</v>
      </c>
      <c r="I8">
        <f>IFERROR(MEDIAN(E2:E21),"")</f>
        <v>308.5</v>
      </c>
    </row>
    <row r="9" spans="1:9" x14ac:dyDescent="0.3">
      <c r="A9">
        <v>6</v>
      </c>
      <c r="B9">
        <v>8</v>
      </c>
      <c r="C9" s="3">
        <v>2.809883817487961E-3</v>
      </c>
      <c r="D9">
        <v>458</v>
      </c>
      <c r="E9">
        <v>1252</v>
      </c>
      <c r="H9" t="s">
        <v>14</v>
      </c>
      <c r="I9">
        <f>IFERROR(MIN(E2:E21),"")</f>
        <v>160</v>
      </c>
    </row>
    <row r="10" spans="1:9" x14ac:dyDescent="0.3">
      <c r="A10">
        <v>6</v>
      </c>
      <c r="B10">
        <v>9</v>
      </c>
      <c r="C10" s="3">
        <v>4.0744629051737988E-3</v>
      </c>
      <c r="D10">
        <v>134</v>
      </c>
      <c r="E10">
        <v>166</v>
      </c>
      <c r="H10" t="s">
        <v>15</v>
      </c>
      <c r="I10">
        <f>IFERROR(MAX(E2:E21),"")</f>
        <v>1809</v>
      </c>
    </row>
    <row r="11" spans="1:9" x14ac:dyDescent="0.3">
      <c r="A11">
        <v>6</v>
      </c>
      <c r="B11">
        <v>10</v>
      </c>
      <c r="C11" s="3">
        <v>7.9020352844320386E-3</v>
      </c>
      <c r="D11">
        <v>115</v>
      </c>
      <c r="E11">
        <v>173</v>
      </c>
    </row>
    <row r="12" spans="1:9" x14ac:dyDescent="0.3">
      <c r="A12">
        <v>6</v>
      </c>
      <c r="B12">
        <v>11</v>
      </c>
      <c r="C12" s="3">
        <v>2.4392750324322581E-3</v>
      </c>
      <c r="D12">
        <v>433</v>
      </c>
      <c r="E12">
        <v>455</v>
      </c>
      <c r="H12" s="5" t="s">
        <v>16</v>
      </c>
    </row>
    <row r="13" spans="1:9" x14ac:dyDescent="0.3">
      <c r="A13">
        <v>6</v>
      </c>
      <c r="B13">
        <v>12</v>
      </c>
      <c r="C13" s="3">
        <v>4.9489045339038149E-3</v>
      </c>
      <c r="D13">
        <v>235</v>
      </c>
      <c r="E13">
        <v>273</v>
      </c>
    </row>
    <row r="14" spans="1:9" x14ac:dyDescent="0.3">
      <c r="A14">
        <v>6</v>
      </c>
      <c r="B14">
        <v>13</v>
      </c>
      <c r="C14" s="3">
        <v>2.6632612713594631E-2</v>
      </c>
      <c r="D14">
        <v>99</v>
      </c>
      <c r="E14">
        <v>407</v>
      </c>
    </row>
    <row r="15" spans="1:9" x14ac:dyDescent="0.3">
      <c r="A15">
        <v>6</v>
      </c>
      <c r="B15">
        <v>14</v>
      </c>
      <c r="C15" s="3">
        <v>2.8951538128132292E-3</v>
      </c>
      <c r="D15">
        <v>536</v>
      </c>
      <c r="E15">
        <v>328</v>
      </c>
    </row>
    <row r="16" spans="1:9" x14ac:dyDescent="0.3">
      <c r="A16">
        <v>6</v>
      </c>
      <c r="B16">
        <v>15</v>
      </c>
      <c r="C16" s="3">
        <v>7.559292925465662E-3</v>
      </c>
      <c r="D16">
        <v>201</v>
      </c>
      <c r="E16">
        <v>1710</v>
      </c>
    </row>
    <row r="17" spans="1:5" x14ac:dyDescent="0.3">
      <c r="A17">
        <v>6</v>
      </c>
      <c r="B17">
        <v>16</v>
      </c>
      <c r="C17" s="3">
        <v>8.5760205673130405E-3</v>
      </c>
      <c r="D17">
        <v>155</v>
      </c>
      <c r="E17">
        <v>280</v>
      </c>
    </row>
    <row r="18" spans="1:5" x14ac:dyDescent="0.3">
      <c r="A18">
        <v>6</v>
      </c>
      <c r="B18">
        <v>17</v>
      </c>
      <c r="C18" s="3">
        <v>2.930682281575088E-2</v>
      </c>
      <c r="D18">
        <v>44</v>
      </c>
      <c r="E18">
        <v>160</v>
      </c>
    </row>
    <row r="19" spans="1:5" x14ac:dyDescent="0.3">
      <c r="A19">
        <v>6</v>
      </c>
      <c r="B19">
        <v>18</v>
      </c>
      <c r="C19" s="3">
        <v>7.1063865394485363E-3</v>
      </c>
      <c r="D19">
        <v>196</v>
      </c>
      <c r="E19">
        <v>423</v>
      </c>
    </row>
    <row r="20" spans="1:5" x14ac:dyDescent="0.3">
      <c r="A20">
        <v>6</v>
      </c>
      <c r="B20">
        <v>19</v>
      </c>
      <c r="C20" s="3">
        <v>1.122850292495969E-2</v>
      </c>
      <c r="D20">
        <v>141</v>
      </c>
      <c r="E20">
        <v>229</v>
      </c>
    </row>
    <row r="21" spans="1:5" x14ac:dyDescent="0.3">
      <c r="A21">
        <v>6</v>
      </c>
      <c r="B21">
        <v>20</v>
      </c>
      <c r="C21" s="3">
        <v>9.7076984896285901E-3</v>
      </c>
      <c r="D21">
        <v>218</v>
      </c>
      <c r="E21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PowerPlants_1</vt:lpstr>
      <vt:lpstr>PowerPlants_2</vt:lpstr>
      <vt:lpstr>PowerPlants_4</vt:lpstr>
      <vt:lpstr>PowerPlants_6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Sadia Tahsin</cp:lastModifiedBy>
  <dcterms:created xsi:type="dcterms:W3CDTF">2026-10-09T23:31:46Z</dcterms:created>
  <dcterms:modified xsi:type="dcterms:W3CDTF">2026-10-10T12:01:50Z</dcterms:modified>
</cp:coreProperties>
</file>