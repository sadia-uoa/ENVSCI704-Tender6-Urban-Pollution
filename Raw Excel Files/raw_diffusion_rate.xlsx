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NVSCI704 Report on Tender Project\NetLogo model and raw data\"/>
    </mc:Choice>
  </mc:AlternateContent>
  <xr:revisionPtr revIDLastSave="0" documentId="11_4945E397116ECADE6C1538D7515DAEFF6AC78F6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ffusion 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O5" i="1" s="1"/>
  <c r="M5" i="1"/>
  <c r="L5" i="1"/>
  <c r="N4" i="1"/>
  <c r="O4" i="1" s="1"/>
  <c r="M4" i="1"/>
  <c r="L4" i="1"/>
  <c r="N3" i="1"/>
  <c r="O3" i="1" s="1"/>
  <c r="M3" i="1"/>
  <c r="L3" i="1"/>
  <c r="N2" i="1"/>
  <c r="O2" i="1" s="1"/>
  <c r="M2" i="1"/>
  <c r="L2" i="1"/>
</calcChain>
</file>

<file path=xl/sharedStrings.xml><?xml version="1.0" encoding="utf-8"?>
<sst xmlns="http://schemas.openxmlformats.org/spreadsheetml/2006/main" count="16" uniqueCount="16">
  <si>
    <t>Diffusion rate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</si>
  <si>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</si>
  <si>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</si>
  <si>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</si>
  <si>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</si>
  <si>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</si>
  <si>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</si>
  <si>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</si>
  <si>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</si>
  <si>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</si>
  <si>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</si>
  <si>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Mean</t>
  </si>
  <si>
    <t>Median</t>
  </si>
  <si>
    <t>Valid runs</t>
  </si>
  <si>
    <t>Excluded</t>
  </si>
  <si>
    <t>Yellow/blank = run never collapsed, stopped and excluded. Settings: planting 0.05, 2 power plants, polluting rate 3. Years until count people =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</si>
</sst>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/>
  </sheetViews>
  <sheetFormatPr defaultRowHeight="14.4" x14ac:dyDescent="0.3"/>
  <cols>
    <col min="1" max="1" width="16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0.2</v>
      </c>
      <c r="B2">
        <v>412</v>
      </c>
      <c r="C2">
        <v>760</v>
      </c>
      <c r="D2">
        <v>297</v>
      </c>
      <c r="E2">
        <v>211</v>
      </c>
      <c r="F2">
        <v>635</v>
      </c>
      <c r="G2">
        <v>224</v>
      </c>
      <c r="H2">
        <v>641</v>
      </c>
      <c r="I2">
        <v>493</v>
      </c>
      <c r="J2">
        <v>1399</v>
      </c>
      <c r="K2">
        <v>1735</v>
      </c>
      <c r="L2" s="2">
        <f>AVERAGE(B2:K2)</f>
        <v>680.7</v>
      </c>
      <c r="M2">
        <f>MEDIAN(B2:K2)</f>
        <v>564</v>
      </c>
      <c r="N2">
        <f>COUNT(B2:K2)</f>
        <v>10</v>
      </c>
      <c r="O2">
        <f>10-N2</f>
        <v>0</v>
      </c>
    </row>
    <row r="3" spans="1:15" x14ac:dyDescent="0.3">
      <c r="A3">
        <v>0.5</v>
      </c>
      <c r="B3">
        <v>547</v>
      </c>
      <c r="C3">
        <v>218</v>
      </c>
      <c r="D3">
        <v>241</v>
      </c>
      <c r="E3">
        <v>212</v>
      </c>
      <c r="F3">
        <v>147</v>
      </c>
      <c r="G3">
        <v>168</v>
      </c>
      <c r="H3" s="3"/>
      <c r="I3">
        <v>256</v>
      </c>
      <c r="J3">
        <v>540</v>
      </c>
      <c r="K3">
        <v>818</v>
      </c>
      <c r="L3" s="2">
        <f>AVERAGE(B3:K3)</f>
        <v>349.66666666666669</v>
      </c>
      <c r="M3">
        <f>MEDIAN(B3:K3)</f>
        <v>241</v>
      </c>
      <c r="N3">
        <f>COUNT(B3:K3)</f>
        <v>9</v>
      </c>
      <c r="O3">
        <f>10-N3</f>
        <v>1</v>
      </c>
    </row>
    <row r="4" spans="1:15" x14ac:dyDescent="0.3">
      <c r="A4">
        <v>0.8</v>
      </c>
      <c r="B4">
        <v>675</v>
      </c>
      <c r="C4">
        <v>127</v>
      </c>
      <c r="D4">
        <v>454</v>
      </c>
      <c r="E4">
        <v>251</v>
      </c>
      <c r="F4">
        <v>180</v>
      </c>
      <c r="G4">
        <v>142</v>
      </c>
      <c r="H4">
        <v>425</v>
      </c>
      <c r="I4">
        <v>135</v>
      </c>
      <c r="J4">
        <v>636</v>
      </c>
      <c r="K4">
        <v>307</v>
      </c>
      <c r="L4" s="2">
        <f>AVERAGE(B4:K4)</f>
        <v>333.2</v>
      </c>
      <c r="M4">
        <f>MEDIAN(B4:K4)</f>
        <v>279</v>
      </c>
      <c r="N4">
        <f>COUNT(B4:K4)</f>
        <v>10</v>
      </c>
      <c r="O4">
        <f>10-N4</f>
        <v>0</v>
      </c>
    </row>
    <row r="5" spans="1:15" x14ac:dyDescent="0.3">
      <c r="A5">
        <v>0.9</v>
      </c>
      <c r="B5">
        <v>304</v>
      </c>
      <c r="C5">
        <v>717</v>
      </c>
      <c r="D5" s="3"/>
      <c r="E5">
        <v>502</v>
      </c>
      <c r="F5">
        <v>737</v>
      </c>
      <c r="G5">
        <v>643</v>
      </c>
      <c r="H5">
        <v>386</v>
      </c>
      <c r="I5">
        <v>89</v>
      </c>
      <c r="J5">
        <v>455</v>
      </c>
      <c r="K5">
        <v>197</v>
      </c>
      <c r="L5" s="2">
        <f>AVERAGE(B5:K5)</f>
        <v>447.77777777777777</v>
      </c>
      <c r="M5">
        <f>MEDIAN(B5:K5)</f>
        <v>455</v>
      </c>
      <c r="N5">
        <f>COUNT(B5:K5)</f>
        <v>9</v>
      </c>
      <c r="O5">
        <f>10-N5</f>
        <v>1</v>
      </c>
    </row>
    <row r="7" spans="1:15" x14ac:dyDescent="0.3">
      <c r="A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Diffusion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Sadia Tahsin</cp:lastModifiedBy>
  <dcterms:created xsi:type="dcterms:W3CDTF">2026-10-08T19:17:47Z</dcterms:created>
  <dcterms:modified xsi:type="dcterms:W3CDTF">2026-10-10T12:03:17Z</dcterms:modified>
</cp:coreProperties>
</file>