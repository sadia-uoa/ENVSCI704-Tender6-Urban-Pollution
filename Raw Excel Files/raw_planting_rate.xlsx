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ng_0" sheetId="1" state="visible" r:id="rId1"/>
    <sheet xmlns:r="http://schemas.openxmlformats.org/officeDocument/2006/relationships" name="Planting_0.05" sheetId="2" state="visible" r:id="rId2"/>
    <sheet xmlns:r="http://schemas.openxmlformats.org/officeDocument/2006/relationships" name="Planting_0.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D2B"/>
      </patternFill>
    </fill>
    <fill>
      <patternFill patternType="solid">
        <fgColor rgb="00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0" customWidth="1" min="3" max="3"/>
    <col width="18" customWidth="1" min="4" max="4"/>
    <col width="20" customWidth="1" min="5" max="5"/>
    <col width="40" customWidth="1" min="6" max="6"/>
    <col width="3" customWidth="1" min="7" max="7"/>
    <col width="30" customWidth="1" min="8" max="8"/>
    <col width="14" customWidth="1" min="9" max="9"/>
  </cols>
  <sheetData>
    <row r="1">
      <c r="A1" s="1" t="inlineStr">
        <is>
          <t>Planting rate</t>
        </is>
      </c>
      <c r="B1" s="1" t="inlineStr">
        <is>
          <t>Run</t>
        </is>
      </c>
      <c r="C1" s="1" t="inlineStr">
        <is>
          <t>Pollution at tick 100</t>
        </is>
      </c>
      <c r="D1" s="1" t="inlineStr">
        <is>
          <t>People at tick 100</t>
        </is>
      </c>
      <c r="E1" s="1" t="inlineStr">
        <is>
          <t>Collapse time (years)</t>
        </is>
      </c>
      <c r="F1" s="1" t="inlineStr">
        <is>
          <t>Notes</t>
        </is>
      </c>
      <c r="H1" s="2" t="inlineStr">
        <is>
          <t>Summary</t>
        </is>
      </c>
    </row>
    <row r="2">
      <c r="A2" t="n">
        <v>0</v>
      </c>
      <c r="B2" t="n">
        <v>1</v>
      </c>
      <c r="C2" s="3" t="n">
        <v>0.06666288976185361</v>
      </c>
      <c r="D2" t="n">
        <v>433</v>
      </c>
      <c r="E2" t="n">
        <v>378</v>
      </c>
      <c r="F2" t="inlineStr"/>
      <c r="H2" t="inlineStr">
        <is>
          <t>Runs with a pollution value</t>
        </is>
      </c>
      <c r="I2">
        <f>COUNT(C2:C21)</f>
        <v/>
      </c>
    </row>
    <row r="3">
      <c r="A3" t="n">
        <v>0</v>
      </c>
      <c r="B3" t="n">
        <v>2</v>
      </c>
      <c r="C3" s="3" t="n">
        <v>0.06666142207637787</v>
      </c>
      <c r="D3" t="n">
        <v>256</v>
      </c>
      <c r="E3" t="n">
        <v>266</v>
      </c>
      <c r="F3" t="inlineStr"/>
      <c r="H3" t="inlineStr">
        <is>
          <t>Mean pollution at tick 100</t>
        </is>
      </c>
      <c r="I3" s="3">
        <f>AVERAGE(C2:C21)</f>
        <v/>
      </c>
    </row>
    <row r="4">
      <c r="A4" t="n">
        <v>0</v>
      </c>
      <c r="B4" t="n">
        <v>3</v>
      </c>
      <c r="C4" s="3" t="n">
        <v>0.06657441788653841</v>
      </c>
      <c r="D4" t="n">
        <v>194</v>
      </c>
      <c r="E4" t="n">
        <v>270</v>
      </c>
      <c r="F4" t="inlineStr"/>
      <c r="H4" t="inlineStr">
        <is>
          <t>Median pollution at tick 100</t>
        </is>
      </c>
      <c r="I4" s="3">
        <f>MEDIAN(C2:C21)</f>
        <v/>
      </c>
    </row>
    <row r="5">
      <c r="A5" t="n">
        <v>0</v>
      </c>
      <c r="B5" t="n">
        <v>4</v>
      </c>
      <c r="C5" s="3" t="n">
        <v>0.06666340957766638</v>
      </c>
      <c r="D5" t="n">
        <v>205</v>
      </c>
      <c r="E5" t="n">
        <v>310</v>
      </c>
      <c r="F5" t="inlineStr"/>
      <c r="H5" t="inlineStr">
        <is>
          <t>Runs that collapsed (valid)</t>
        </is>
      </c>
      <c r="I5">
        <f>COUNT(E2:E21)</f>
        <v/>
      </c>
    </row>
    <row r="6">
      <c r="A6" t="n">
        <v>0</v>
      </c>
      <c r="B6" t="n">
        <v>5</v>
      </c>
      <c r="C6" s="3" t="n">
        <v>0.06666067059174563</v>
      </c>
      <c r="D6" t="n">
        <v>118</v>
      </c>
      <c r="E6" t="n">
        <v>312</v>
      </c>
      <c r="F6" t="inlineStr"/>
      <c r="H6" t="inlineStr">
        <is>
          <t>Runs excluded (no collapse)</t>
        </is>
      </c>
      <c r="I6">
        <f>COUNT(B2:B21)-COUNT(E2:E21)</f>
        <v/>
      </c>
    </row>
    <row r="7">
      <c r="A7" t="n">
        <v>0</v>
      </c>
      <c r="B7" t="n">
        <v>6</v>
      </c>
      <c r="C7" s="3" t="n">
        <v>0.06665931794296742</v>
      </c>
      <c r="D7" t="n">
        <v>96</v>
      </c>
      <c r="E7" t="n">
        <v>214</v>
      </c>
      <c r="F7" t="inlineStr"/>
      <c r="H7" t="inlineStr">
        <is>
          <t>Mean collapse time</t>
        </is>
      </c>
      <c r="I7" s="4">
        <f>AVERAGE(E2:E21)</f>
        <v/>
      </c>
    </row>
    <row r="8">
      <c r="A8" t="n">
        <v>0</v>
      </c>
      <c r="B8" t="n">
        <v>7</v>
      </c>
      <c r="C8" s="3" t="n">
        <v>0.0663606696368728</v>
      </c>
      <c r="D8" t="n">
        <v>314</v>
      </c>
      <c r="E8" t="n">
        <v>766</v>
      </c>
      <c r="F8" t="inlineStr"/>
      <c r="H8" t="inlineStr">
        <is>
          <t>Median collapse time</t>
        </is>
      </c>
      <c r="I8">
        <f>MEDIAN(E2:E21)</f>
        <v/>
      </c>
    </row>
    <row r="9">
      <c r="A9" t="n">
        <v>0</v>
      </c>
      <c r="B9" t="n">
        <v>8</v>
      </c>
      <c r="C9" s="3" t="n">
        <v>0.0666634178498496</v>
      </c>
      <c r="D9" t="n">
        <v>120</v>
      </c>
      <c r="E9" t="n">
        <v>506</v>
      </c>
      <c r="F9" t="inlineStr"/>
      <c r="H9" t="inlineStr">
        <is>
          <t>Min collapse time</t>
        </is>
      </c>
      <c r="I9">
        <f>MIN(E2:E21)</f>
        <v/>
      </c>
    </row>
    <row r="10">
      <c r="A10" t="n">
        <v>0</v>
      </c>
      <c r="B10" t="n">
        <v>9</v>
      </c>
      <c r="C10" s="3" t="n">
        <v>0.06655003766429402</v>
      </c>
      <c r="D10" t="n">
        <v>226</v>
      </c>
      <c r="E10" t="n">
        <v>343</v>
      </c>
      <c r="F10" t="inlineStr"/>
      <c r="H10" t="inlineStr">
        <is>
          <t>Max collapse time</t>
        </is>
      </c>
      <c r="I10">
        <f>MAX(E2:E21)</f>
        <v/>
      </c>
    </row>
    <row r="11">
      <c r="A11" t="n">
        <v>0</v>
      </c>
      <c r="B11" t="n">
        <v>10</v>
      </c>
      <c r="C11" s="3" t="n">
        <v>0.06666259285522046</v>
      </c>
      <c r="D11" t="n">
        <v>256</v>
      </c>
      <c r="E11" t="n">
        <v>516</v>
      </c>
      <c r="F11" t="inlineStr"/>
    </row>
    <row r="12">
      <c r="A12" t="n">
        <v>0</v>
      </c>
      <c r="B12" t="n">
        <v>11</v>
      </c>
      <c r="C12" s="3" t="n">
        <v>0.06666091716379602</v>
      </c>
      <c r="D12" t="n">
        <v>173</v>
      </c>
      <c r="E12" t="n">
        <v>185</v>
      </c>
      <c r="F12" t="inlineStr"/>
    </row>
    <row r="13">
      <c r="A13" t="n">
        <v>0</v>
      </c>
      <c r="B13" t="n">
        <v>12</v>
      </c>
      <c r="C13" s="3" t="n">
        <v>0.06615100957332475</v>
      </c>
      <c r="D13" t="n">
        <v>340</v>
      </c>
      <c r="E13" t="n">
        <v>213</v>
      </c>
      <c r="F13" t="inlineStr"/>
    </row>
    <row r="14">
      <c r="A14" t="n">
        <v>0</v>
      </c>
      <c r="B14" t="n">
        <v>13</v>
      </c>
      <c r="C14" s="3" t="n">
        <v>0.06598252086284566</v>
      </c>
      <c r="D14" t="n">
        <v>296</v>
      </c>
      <c r="E14" t="n">
        <v>434</v>
      </c>
      <c r="F14" t="inlineStr"/>
    </row>
    <row r="15">
      <c r="A15" t="n">
        <v>0</v>
      </c>
      <c r="B15" t="n">
        <v>14</v>
      </c>
      <c r="C15" s="3" t="n">
        <v>0.06251769063561607</v>
      </c>
      <c r="D15" t="n">
        <v>149</v>
      </c>
      <c r="E15" t="n">
        <v>421</v>
      </c>
      <c r="F15" t="inlineStr"/>
    </row>
    <row r="16">
      <c r="A16" t="n">
        <v>0</v>
      </c>
      <c r="B16" t="n">
        <v>15</v>
      </c>
      <c r="C16" s="3" t="n">
        <v>0.0666634190506545</v>
      </c>
      <c r="D16" t="n">
        <v>223</v>
      </c>
      <c r="E16" t="n">
        <v>527</v>
      </c>
      <c r="F16" t="inlineStr"/>
    </row>
    <row r="17">
      <c r="A17" t="n">
        <v>0</v>
      </c>
      <c r="B17" t="n">
        <v>16</v>
      </c>
      <c r="C17" s="3" t="n">
        <v>0.06666338790094205</v>
      </c>
      <c r="D17" t="n">
        <v>459</v>
      </c>
      <c r="E17" t="n">
        <v>665</v>
      </c>
      <c r="F17" t="inlineStr"/>
    </row>
    <row r="18">
      <c r="A18" t="n">
        <v>0</v>
      </c>
      <c r="B18" t="n">
        <v>17</v>
      </c>
      <c r="C18" s="3" t="n">
        <v>0.06666342022450876</v>
      </c>
      <c r="D18" t="n">
        <v>261</v>
      </c>
      <c r="E18" t="n">
        <v>384</v>
      </c>
      <c r="F18" t="inlineStr"/>
    </row>
    <row r="19">
      <c r="A19" t="n">
        <v>0</v>
      </c>
      <c r="B19" t="n">
        <v>18</v>
      </c>
      <c r="C19" s="3" t="n">
        <v>0.06482421116301387</v>
      </c>
      <c r="D19" t="n">
        <v>130</v>
      </c>
      <c r="E19" t="n">
        <v>244</v>
      </c>
      <c r="F19" t="inlineStr"/>
    </row>
    <row r="20">
      <c r="A20" t="n">
        <v>0</v>
      </c>
      <c r="B20" t="n">
        <v>19</v>
      </c>
      <c r="C20" s="3" t="n">
        <v>0.06666243179380202</v>
      </c>
      <c r="D20" t="n">
        <v>254</v>
      </c>
      <c r="E20" t="n">
        <v>315</v>
      </c>
      <c r="F20" t="inlineStr"/>
    </row>
    <row r="21">
      <c r="A21" t="n">
        <v>0</v>
      </c>
      <c r="B21" t="n">
        <v>20</v>
      </c>
      <c r="C21" s="3" t="n">
        <v>0.06665619192779804</v>
      </c>
      <c r="D21" t="n">
        <v>174</v>
      </c>
      <c r="E21" t="n">
        <v>317</v>
      </c>
      <c r="F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0" customWidth="1" min="3" max="3"/>
    <col width="18" customWidth="1" min="4" max="4"/>
    <col width="20" customWidth="1" min="5" max="5"/>
    <col width="40" customWidth="1" min="6" max="6"/>
    <col width="3" customWidth="1" min="7" max="7"/>
    <col width="30" customWidth="1" min="8" max="8"/>
    <col width="14" customWidth="1" min="9" max="9"/>
  </cols>
  <sheetData>
    <row r="1">
      <c r="A1" s="1" t="inlineStr">
        <is>
          <t>Planting rate</t>
        </is>
      </c>
      <c r="B1" s="1" t="inlineStr">
        <is>
          <t>Run</t>
        </is>
      </c>
      <c r="C1" s="1" t="inlineStr">
        <is>
          <t>Pollution at tick 100</t>
        </is>
      </c>
      <c r="D1" s="1" t="inlineStr">
        <is>
          <t>People at tick 100</t>
        </is>
      </c>
      <c r="E1" s="1" t="inlineStr">
        <is>
          <t>Collapse time (years)</t>
        </is>
      </c>
      <c r="F1" s="1" t="inlineStr">
        <is>
          <t>Notes</t>
        </is>
      </c>
      <c r="H1" s="2" t="inlineStr">
        <is>
          <t>Summary</t>
        </is>
      </c>
    </row>
    <row r="2">
      <c r="A2" t="n">
        <v>0.05</v>
      </c>
      <c r="B2" t="n">
        <v>1</v>
      </c>
      <c r="C2" s="3" t="n">
        <v>0.001873536114582602</v>
      </c>
      <c r="D2" t="n">
        <v>200</v>
      </c>
      <c r="E2" s="5" t="n"/>
      <c r="F2" t="inlineStr">
        <is>
          <t>no collapse (reached 3000) - excluded; baseline = the power-plants=2 runs</t>
        </is>
      </c>
      <c r="H2" t="inlineStr">
        <is>
          <t>Runs with a pollution value</t>
        </is>
      </c>
      <c r="I2">
        <f>COUNT(C2:C21)</f>
        <v/>
      </c>
    </row>
    <row r="3">
      <c r="A3" t="n">
        <v>0.05</v>
      </c>
      <c r="B3" t="n">
        <v>2</v>
      </c>
      <c r="C3" s="3" t="n">
        <v>0.006448963151248772</v>
      </c>
      <c r="D3" t="n">
        <v>63</v>
      </c>
      <c r="E3" t="n">
        <v>345</v>
      </c>
      <c r="F3" t="inlineStr"/>
      <c r="H3" t="inlineStr">
        <is>
          <t>Mean pollution at tick 100</t>
        </is>
      </c>
      <c r="I3" s="3">
        <f>AVERAGE(C2:C21)</f>
        <v/>
      </c>
    </row>
    <row r="4">
      <c r="A4" t="n">
        <v>0.05</v>
      </c>
      <c r="B4" t="n">
        <v>3</v>
      </c>
      <c r="C4" s="3" t="n">
        <v>0.0008282845188796998</v>
      </c>
      <c r="D4" t="n">
        <v>399</v>
      </c>
      <c r="E4" t="n">
        <v>1104</v>
      </c>
      <c r="F4" t="inlineStr"/>
      <c r="H4" t="inlineStr">
        <is>
          <t>Median pollution at tick 100</t>
        </is>
      </c>
      <c r="I4" s="3">
        <f>MEDIAN(C2:C21)</f>
        <v/>
      </c>
    </row>
    <row r="5">
      <c r="A5" t="n">
        <v>0.05</v>
      </c>
      <c r="B5" t="n">
        <v>4</v>
      </c>
      <c r="C5" s="3" t="n">
        <v>0.001318456869747889</v>
      </c>
      <c r="D5" t="n">
        <v>394</v>
      </c>
      <c r="E5" t="n">
        <v>385</v>
      </c>
      <c r="F5" t="inlineStr"/>
      <c r="H5" t="inlineStr">
        <is>
          <t>Runs that collapsed (valid)</t>
        </is>
      </c>
      <c r="I5">
        <f>COUNT(E2:E21)</f>
        <v/>
      </c>
    </row>
    <row r="6">
      <c r="A6" t="n">
        <v>0.05</v>
      </c>
      <c r="B6" t="n">
        <v>5</v>
      </c>
      <c r="C6" s="3" t="n">
        <v>0.004585630737658605</v>
      </c>
      <c r="D6" t="n">
        <v>281</v>
      </c>
      <c r="E6" t="n">
        <v>628</v>
      </c>
      <c r="F6" t="inlineStr"/>
      <c r="H6" t="inlineStr">
        <is>
          <t>Runs excluded (no collapse)</t>
        </is>
      </c>
      <c r="I6">
        <f>COUNT(B2:B21)-COUNT(E2:E21)</f>
        <v/>
      </c>
    </row>
    <row r="7">
      <c r="A7" t="n">
        <v>0.05</v>
      </c>
      <c r="B7" t="n">
        <v>6</v>
      </c>
      <c r="C7" s="3" t="n">
        <v>0.002448634055060937</v>
      </c>
      <c r="D7" t="n">
        <v>111</v>
      </c>
      <c r="E7" t="n">
        <v>2838</v>
      </c>
      <c r="F7" t="inlineStr"/>
      <c r="H7" t="inlineStr">
        <is>
          <t>Mean collapse time</t>
        </is>
      </c>
      <c r="I7" s="4">
        <f>AVERAGE(E2:E21)</f>
        <v/>
      </c>
    </row>
    <row r="8">
      <c r="A8" t="n">
        <v>0.05</v>
      </c>
      <c r="B8" t="n">
        <v>7</v>
      </c>
      <c r="C8" s="3" t="n">
        <v>0.0009363245865469797</v>
      </c>
      <c r="D8" t="n">
        <v>229</v>
      </c>
      <c r="E8" t="n">
        <v>246</v>
      </c>
      <c r="F8" t="inlineStr"/>
      <c r="H8" t="inlineStr">
        <is>
          <t>Median collapse time</t>
        </is>
      </c>
      <c r="I8">
        <f>MEDIAN(E2:E21)</f>
        <v/>
      </c>
    </row>
    <row r="9">
      <c r="A9" t="n">
        <v>0.05</v>
      </c>
      <c r="B9" t="n">
        <v>8</v>
      </c>
      <c r="C9" s="3" t="n">
        <v>0.004250295154721362</v>
      </c>
      <c r="D9" t="n">
        <v>126</v>
      </c>
      <c r="E9" t="n">
        <v>161</v>
      </c>
      <c r="F9" t="inlineStr"/>
      <c r="H9" t="inlineStr">
        <is>
          <t>Min collapse time</t>
        </is>
      </c>
      <c r="I9">
        <f>MIN(E2:E21)</f>
        <v/>
      </c>
    </row>
    <row r="10">
      <c r="A10" t="n">
        <v>0.05</v>
      </c>
      <c r="B10" t="n">
        <v>9</v>
      </c>
      <c r="C10" s="3" t="n">
        <v>0.001706414708846105</v>
      </c>
      <c r="D10" t="n">
        <v>166</v>
      </c>
      <c r="E10" t="n">
        <v>179</v>
      </c>
      <c r="F10" t="inlineStr"/>
      <c r="H10" t="inlineStr">
        <is>
          <t>Max collapse time</t>
        </is>
      </c>
      <c r="I10">
        <f>MAX(E2:E21)</f>
        <v/>
      </c>
    </row>
    <row r="11">
      <c r="A11" t="n">
        <v>0.05</v>
      </c>
      <c r="B11" t="n">
        <v>10</v>
      </c>
      <c r="C11" s="3" t="n">
        <v>0.001598957373472048</v>
      </c>
      <c r="D11" t="n">
        <v>639</v>
      </c>
      <c r="E11" t="n">
        <v>1953</v>
      </c>
      <c r="F11" t="inlineStr"/>
    </row>
    <row r="12">
      <c r="A12" t="n">
        <v>0.05</v>
      </c>
      <c r="B12" t="n">
        <v>11</v>
      </c>
      <c r="C12" s="3" t="n">
        <v>0.001138728647130621</v>
      </c>
      <c r="D12" t="n">
        <v>379</v>
      </c>
      <c r="E12" t="n">
        <v>1166</v>
      </c>
      <c r="F12" t="inlineStr"/>
    </row>
    <row r="13">
      <c r="A13" t="n">
        <v>0.05</v>
      </c>
      <c r="B13" t="n">
        <v>12</v>
      </c>
      <c r="C13" s="3" t="n">
        <v>0.003827627281478996</v>
      </c>
      <c r="D13" t="n">
        <v>101</v>
      </c>
      <c r="E13" t="n">
        <v>147</v>
      </c>
      <c r="F13" t="inlineStr"/>
    </row>
    <row r="14">
      <c r="A14" t="n">
        <v>0.05</v>
      </c>
      <c r="B14" t="n">
        <v>13</v>
      </c>
      <c r="C14" s="3" t="n">
        <v>0.002056510575255825</v>
      </c>
      <c r="D14" t="n">
        <v>229</v>
      </c>
      <c r="E14" t="n">
        <v>704</v>
      </c>
      <c r="F14" t="inlineStr"/>
    </row>
    <row r="15">
      <c r="A15" t="n">
        <v>0.05</v>
      </c>
      <c r="B15" t="n">
        <v>14</v>
      </c>
      <c r="C15" s="3" t="n">
        <v>0.001579810925924794</v>
      </c>
      <c r="D15" t="n">
        <v>564</v>
      </c>
      <c r="E15" s="5" t="n"/>
      <c r="F15" t="inlineStr">
        <is>
          <t>no collapse (reached 3000) - excluded</t>
        </is>
      </c>
    </row>
    <row r="16">
      <c r="A16" t="n">
        <v>0.05</v>
      </c>
      <c r="B16" t="n">
        <v>15</v>
      </c>
      <c r="C16" s="3" t="n">
        <v>0.002640018158433533</v>
      </c>
      <c r="D16" t="n">
        <v>353</v>
      </c>
      <c r="E16" t="n">
        <v>371</v>
      </c>
      <c r="F16" t="inlineStr"/>
    </row>
    <row r="17">
      <c r="A17" t="n">
        <v>0.05</v>
      </c>
      <c r="B17" t="n">
        <v>16</v>
      </c>
      <c r="C17" s="3" t="n">
        <v>0.0006708408736643883</v>
      </c>
      <c r="D17" t="n">
        <v>374</v>
      </c>
      <c r="E17" t="n">
        <v>649</v>
      </c>
      <c r="F17" t="inlineStr"/>
    </row>
    <row r="18">
      <c r="A18" t="n">
        <v>0.05</v>
      </c>
      <c r="B18" t="n">
        <v>17</v>
      </c>
      <c r="C18" s="3" t="n">
        <v>0.0005719023878822912</v>
      </c>
      <c r="D18" t="n">
        <v>845</v>
      </c>
      <c r="E18" t="n">
        <v>703</v>
      </c>
      <c r="F18" t="inlineStr"/>
    </row>
    <row r="19">
      <c r="A19" t="n">
        <v>0.05</v>
      </c>
      <c r="B19" t="n">
        <v>18</v>
      </c>
      <c r="C19" s="3" t="n">
        <v>7.620557238961933e-17</v>
      </c>
      <c r="D19" t="n">
        <v>783</v>
      </c>
      <c r="E19" t="n">
        <v>1099</v>
      </c>
      <c r="F19" t="inlineStr"/>
    </row>
    <row r="20">
      <c r="A20" t="n">
        <v>0.05</v>
      </c>
      <c r="B20" t="n">
        <v>19</v>
      </c>
      <c r="C20" s="3" t="n">
        <v>0.002047509462150888</v>
      </c>
      <c r="D20" t="n">
        <v>308</v>
      </c>
      <c r="E20" t="n">
        <v>2848</v>
      </c>
      <c r="F20" t="inlineStr"/>
    </row>
    <row r="21">
      <c r="A21" t="n">
        <v>0.05</v>
      </c>
      <c r="B21" t="n">
        <v>20</v>
      </c>
      <c r="C21" s="3" t="n">
        <v>0.00167410474434377</v>
      </c>
      <c r="D21" t="n">
        <v>185</v>
      </c>
      <c r="E21" t="n">
        <v>244</v>
      </c>
      <c r="F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0" customWidth="1" min="3" max="3"/>
    <col width="18" customWidth="1" min="4" max="4"/>
    <col width="20" customWidth="1" min="5" max="5"/>
    <col width="40" customWidth="1" min="6" max="6"/>
    <col width="3" customWidth="1" min="7" max="7"/>
    <col width="30" customWidth="1" min="8" max="8"/>
    <col width="14" customWidth="1" min="9" max="9"/>
  </cols>
  <sheetData>
    <row r="1">
      <c r="A1" s="1" t="inlineStr">
        <is>
          <t>Planting rate</t>
        </is>
      </c>
      <c r="B1" s="1" t="inlineStr">
        <is>
          <t>Run</t>
        </is>
      </c>
      <c r="C1" s="1" t="inlineStr">
        <is>
          <t>Pollution at tick 100</t>
        </is>
      </c>
      <c r="D1" s="1" t="inlineStr">
        <is>
          <t>People at tick 100</t>
        </is>
      </c>
      <c r="E1" s="1" t="inlineStr">
        <is>
          <t>Collapse time (years)</t>
        </is>
      </c>
      <c r="F1" s="1" t="inlineStr">
        <is>
          <t>Notes</t>
        </is>
      </c>
      <c r="H1" s="2" t="inlineStr">
        <is>
          <t>Summary</t>
        </is>
      </c>
    </row>
    <row r="2">
      <c r="A2" t="n">
        <v>0.5</v>
      </c>
      <c r="B2" t="n">
        <v>1</v>
      </c>
      <c r="C2" s="3" t="n">
        <v>0</v>
      </c>
      <c r="D2" t="n">
        <v>453</v>
      </c>
      <c r="E2" t="n">
        <v>843</v>
      </c>
      <c r="F2" t="inlineStr"/>
      <c r="H2" t="inlineStr">
        <is>
          <t>Runs with a pollution value</t>
        </is>
      </c>
      <c r="I2">
        <f>COUNT(C2:C21)</f>
        <v/>
      </c>
    </row>
    <row r="3">
      <c r="A3" t="n">
        <v>0.5</v>
      </c>
      <c r="B3" t="n">
        <v>2</v>
      </c>
      <c r="C3" s="3" t="n">
        <v>0.001103984511513526</v>
      </c>
      <c r="D3" t="n">
        <v>48</v>
      </c>
      <c r="E3" t="n">
        <v>210</v>
      </c>
      <c r="F3" t="inlineStr"/>
      <c r="H3" t="inlineStr">
        <is>
          <t>Mean pollution at tick 100</t>
        </is>
      </c>
      <c r="I3" s="3">
        <f>AVERAGE(C2:C21)</f>
        <v/>
      </c>
    </row>
    <row r="4">
      <c r="A4" t="n">
        <v>0.5</v>
      </c>
      <c r="B4" t="n">
        <v>3</v>
      </c>
      <c r="C4" s="3" t="n">
        <v>0</v>
      </c>
      <c r="D4" t="n">
        <v>530</v>
      </c>
      <c r="E4" t="n">
        <v>1374</v>
      </c>
      <c r="F4" t="inlineStr"/>
      <c r="H4" t="inlineStr">
        <is>
          <t>Median pollution at tick 100</t>
        </is>
      </c>
      <c r="I4" s="3">
        <f>MEDIAN(C2:C21)</f>
        <v/>
      </c>
    </row>
    <row r="5">
      <c r="A5" t="n">
        <v>0.5</v>
      </c>
      <c r="B5" t="n">
        <v>4</v>
      </c>
      <c r="C5" s="3" t="n">
        <v>0</v>
      </c>
      <c r="D5" t="n">
        <v>307</v>
      </c>
      <c r="E5" t="n">
        <v>2397</v>
      </c>
      <c r="F5" t="inlineStr"/>
      <c r="H5" t="inlineStr">
        <is>
          <t>Runs that collapsed (valid)</t>
        </is>
      </c>
      <c r="I5">
        <f>COUNT(E2:E21)</f>
        <v/>
      </c>
    </row>
    <row r="6">
      <c r="A6" t="n">
        <v>0.5</v>
      </c>
      <c r="B6" t="n">
        <v>5</v>
      </c>
      <c r="C6" s="3" t="n">
        <v>0</v>
      </c>
      <c r="D6" t="n">
        <v>284</v>
      </c>
      <c r="E6" s="5" t="n"/>
      <c r="F6" t="inlineStr">
        <is>
          <t>no collapse (reached 3000) - excluded</t>
        </is>
      </c>
      <c r="H6" t="inlineStr">
        <is>
          <t>Runs excluded (no collapse)</t>
        </is>
      </c>
      <c r="I6">
        <f>COUNT(B2:B21)-COUNT(E2:E21)</f>
        <v/>
      </c>
    </row>
    <row r="7">
      <c r="A7" t="n">
        <v>0.5</v>
      </c>
      <c r="B7" t="n">
        <v>6</v>
      </c>
      <c r="C7" s="3" t="n">
        <v>0</v>
      </c>
      <c r="D7" t="n">
        <v>377</v>
      </c>
      <c r="E7" t="n">
        <v>777</v>
      </c>
      <c r="F7" t="inlineStr"/>
      <c r="H7" t="inlineStr">
        <is>
          <t>Mean collapse time</t>
        </is>
      </c>
      <c r="I7" s="4">
        <f>AVERAGE(E2:E21)</f>
        <v/>
      </c>
    </row>
    <row r="8">
      <c r="A8" t="n">
        <v>0.5</v>
      </c>
      <c r="B8" t="n">
        <v>7</v>
      </c>
      <c r="C8" s="3" t="n">
        <v>0</v>
      </c>
      <c r="D8" t="n">
        <v>295</v>
      </c>
      <c r="E8" t="n">
        <v>1077</v>
      </c>
      <c r="F8" t="inlineStr"/>
      <c r="H8" t="inlineStr">
        <is>
          <t>Median collapse time</t>
        </is>
      </c>
      <c r="I8">
        <f>MEDIAN(E2:E21)</f>
        <v/>
      </c>
    </row>
    <row r="9">
      <c r="A9" t="n">
        <v>0.5</v>
      </c>
      <c r="B9" t="n">
        <v>8</v>
      </c>
      <c r="C9" s="3" t="n">
        <v>0</v>
      </c>
      <c r="D9" t="n">
        <v>310</v>
      </c>
      <c r="E9" t="n">
        <v>452</v>
      </c>
      <c r="F9" t="inlineStr"/>
      <c r="H9" t="inlineStr">
        <is>
          <t>Min collapse time</t>
        </is>
      </c>
      <c r="I9">
        <f>MIN(E2:E21)</f>
        <v/>
      </c>
    </row>
    <row r="10">
      <c r="A10" t="n">
        <v>0.5</v>
      </c>
      <c r="B10" t="n">
        <v>9</v>
      </c>
      <c r="C10" s="3" t="n">
        <v>0.000447127335503763</v>
      </c>
      <c r="D10" t="n">
        <v>126</v>
      </c>
      <c r="E10" t="n">
        <v>309</v>
      </c>
      <c r="F10" t="inlineStr"/>
      <c r="H10" t="inlineStr">
        <is>
          <t>Max collapse time</t>
        </is>
      </c>
      <c r="I10">
        <f>MAX(E2:E21)</f>
        <v/>
      </c>
    </row>
    <row r="11">
      <c r="A11" t="n">
        <v>0.5</v>
      </c>
      <c r="B11" t="n">
        <v>10</v>
      </c>
      <c r="C11" s="3" t="n">
        <v>0</v>
      </c>
      <c r="D11" t="n">
        <v>235</v>
      </c>
      <c r="E11" t="n">
        <v>673</v>
      </c>
      <c r="F11" t="inlineStr"/>
    </row>
    <row r="12">
      <c r="A12" t="n">
        <v>0.5</v>
      </c>
      <c r="B12" t="n">
        <v>11</v>
      </c>
      <c r="C12" s="3" t="n">
        <v>0.000223563603845294</v>
      </c>
      <c r="D12" t="n">
        <v>354</v>
      </c>
      <c r="E12" t="n">
        <v>1428</v>
      </c>
      <c r="F12" t="inlineStr"/>
    </row>
    <row r="13">
      <c r="A13" t="n">
        <v>0.5</v>
      </c>
      <c r="B13" t="n">
        <v>12</v>
      </c>
      <c r="C13" s="3" t="n">
        <v>0</v>
      </c>
      <c r="D13" t="n">
        <v>248</v>
      </c>
      <c r="E13" t="n">
        <v>579</v>
      </c>
      <c r="F13" t="inlineStr"/>
    </row>
    <row r="14">
      <c r="A14" t="n">
        <v>0.5</v>
      </c>
      <c r="B14" t="n">
        <v>13</v>
      </c>
      <c r="C14" s="3" t="n">
        <v>0.0005589090096132349</v>
      </c>
      <c r="D14" t="n">
        <v>161</v>
      </c>
      <c r="E14" t="n">
        <v>1049</v>
      </c>
      <c r="F14" t="inlineStr"/>
    </row>
    <row r="15">
      <c r="A15" t="n">
        <v>0.5</v>
      </c>
      <c r="B15" t="n">
        <v>14</v>
      </c>
      <c r="C15" s="3" t="n">
        <v>0</v>
      </c>
      <c r="D15" t="n">
        <v>625</v>
      </c>
      <c r="E15" t="n">
        <v>746</v>
      </c>
      <c r="F15" t="inlineStr"/>
    </row>
    <row r="16">
      <c r="A16" t="n">
        <v>0.5</v>
      </c>
      <c r="B16" t="n">
        <v>15</v>
      </c>
      <c r="C16" s="3" t="n">
        <v>0</v>
      </c>
      <c r="D16" t="n">
        <v>398</v>
      </c>
      <c r="E16" s="5" t="n"/>
      <c r="F16" t="inlineStr">
        <is>
          <t>no collapse (reached 3000) - excluded</t>
        </is>
      </c>
    </row>
    <row r="17">
      <c r="A17" t="n">
        <v>0.5</v>
      </c>
      <c r="B17" t="n">
        <v>16</v>
      </c>
      <c r="C17" s="3" t="n">
        <v>0</v>
      </c>
      <c r="D17" t="n">
        <v>341</v>
      </c>
      <c r="E17" t="n">
        <v>1200</v>
      </c>
      <c r="F17" t="inlineStr"/>
    </row>
    <row r="18">
      <c r="A18" t="n">
        <v>0.5</v>
      </c>
      <c r="B18" t="n">
        <v>17</v>
      </c>
      <c r="C18" s="3" t="n">
        <v>0</v>
      </c>
      <c r="D18" t="n">
        <v>434</v>
      </c>
      <c r="E18" s="5" t="n"/>
      <c r="F18" t="inlineStr">
        <is>
          <t>no collapse (reached 3000) - excluded</t>
        </is>
      </c>
    </row>
    <row r="19">
      <c r="A19" t="n">
        <v>0.5</v>
      </c>
      <c r="B19" t="n">
        <v>18</v>
      </c>
      <c r="C19" s="3" t="n">
        <v>0</v>
      </c>
      <c r="D19" t="n">
        <v>345</v>
      </c>
      <c r="E19" t="n">
        <v>753</v>
      </c>
      <c r="F19" t="inlineStr"/>
    </row>
    <row r="20">
      <c r="A20" t="n">
        <v>0.5</v>
      </c>
      <c r="B20" t="n">
        <v>19</v>
      </c>
      <c r="C20" s="3" t="n">
        <v>0</v>
      </c>
      <c r="D20" t="n">
        <v>684</v>
      </c>
      <c r="E20" s="5" t="n"/>
      <c r="F20" t="inlineStr">
        <is>
          <t>no collapse (reached 3000) - excluded</t>
        </is>
      </c>
    </row>
    <row r="21">
      <c r="A21" t="n">
        <v>0.5</v>
      </c>
      <c r="B21" t="n">
        <v>20</v>
      </c>
      <c r="C21" s="3" t="n">
        <v>0</v>
      </c>
      <c r="D21" t="n">
        <v>196</v>
      </c>
      <c r="E21" t="n">
        <v>510</v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2026-10-10T05:21:45Z</dcterms:created>
  <dcterms:modified xmlns:dcterms="http://purl.org/dc/terms/" xmlns:xsi="http://www.w3.org/2001/XMLSchema-instance" xsi:type="dcterms:W3CDTF">2026-10-10T05:21:45Z</dcterms:modified>
</cp:coreProperties>
</file>