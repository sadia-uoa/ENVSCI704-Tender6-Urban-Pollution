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NVSCI704 Report on Tender Project\NetLogo model and raw data\"/>
    </mc:Choice>
  </mc:AlternateContent>
  <xr:revisionPtr revIDLastSave="0" documentId="11_084C13AF555E70DEEF3BA85651BF5EBA845ED6D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C16" i="1"/>
  <c r="B16" i="1"/>
  <c r="C15" i="1"/>
  <c r="B15" i="1"/>
  <c r="C14" i="1"/>
  <c r="B14" i="1"/>
  <c r="C13" i="1"/>
  <c r="B13" i="1"/>
</calcChain>
</file>

<file path=xl/sharedStrings.xml><?xml version="1.0" encoding="utf-8"?>
<sst xmlns="http://schemas.openxmlformats.org/spreadsheetml/2006/main" count="10" uniqueCount="10">
  <si>
    <t>Run</t>
  </si>
  <si>
    <t>Spread (centre + corner)</t>
  </si>
  <si>
    <t>Clustered (two corners)</t>
  </si>
  <si>
    <t>Run 5 did not collapse (4058 people at tick 1512) - excluded, left blank</t>
  </si>
  <si>
    <t>Mean</t>
  </si>
  <si>
    <t>Median</t>
  </si>
  <si>
    <t>Baseline (planting 0.05, plants random): mean 665, median 389, n=18 valid (2 excluded). Paste baseline run values into column D if you want them in the figure.</t>
  </si>
  <si>
    <t>Max</t>
  </si>
  <si>
    <t>Valid runs (n)</t>
  </si>
  <si>
    <t>Baseline (planting 0.05, plants random): mean 665, median 389, n=18 valid (2 excluded). Clustered: mean 800, median 292, n=9 (from earlier runs - paste the 10 clustered values into column 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</si>
</sst>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4.4" x14ac:dyDescent="0.3"/>
  <cols>
    <col min="1" max="1" width="18" customWidth="1"/>
    <col min="2" max="3" width="26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>
        <v>1</v>
      </c>
      <c r="B2">
        <v>867</v>
      </c>
      <c r="C2">
        <v>101</v>
      </c>
    </row>
    <row r="3" spans="1:4" x14ac:dyDescent="0.3">
      <c r="A3">
        <v>2</v>
      </c>
      <c r="B3">
        <v>463</v>
      </c>
      <c r="C3">
        <v>1948</v>
      </c>
    </row>
    <row r="4" spans="1:4" x14ac:dyDescent="0.3">
      <c r="A4">
        <v>3</v>
      </c>
      <c r="B4">
        <v>259</v>
      </c>
      <c r="C4">
        <v>2378</v>
      </c>
    </row>
    <row r="5" spans="1:4" x14ac:dyDescent="0.3">
      <c r="A5">
        <v>4</v>
      </c>
      <c r="B5">
        <v>297</v>
      </c>
      <c r="C5">
        <v>511</v>
      </c>
    </row>
    <row r="6" spans="1:4" x14ac:dyDescent="0.3">
      <c r="A6">
        <v>5</v>
      </c>
      <c r="B6">
        <v>223</v>
      </c>
      <c r="D6" t="s">
        <v>3</v>
      </c>
    </row>
    <row r="7" spans="1:4" x14ac:dyDescent="0.3">
      <c r="A7">
        <v>6</v>
      </c>
      <c r="B7">
        <v>704</v>
      </c>
      <c r="C7">
        <v>292</v>
      </c>
    </row>
    <row r="8" spans="1:4" x14ac:dyDescent="0.3">
      <c r="A8">
        <v>7</v>
      </c>
      <c r="B8">
        <v>410</v>
      </c>
      <c r="C8">
        <v>201</v>
      </c>
    </row>
    <row r="9" spans="1:4" x14ac:dyDescent="0.3">
      <c r="A9">
        <v>8</v>
      </c>
      <c r="B9">
        <v>212</v>
      </c>
      <c r="C9">
        <v>187</v>
      </c>
    </row>
    <row r="10" spans="1:4" x14ac:dyDescent="0.3">
      <c r="A10">
        <v>9</v>
      </c>
      <c r="B10">
        <v>1668</v>
      </c>
      <c r="C10">
        <v>1311</v>
      </c>
    </row>
    <row r="11" spans="1:4" x14ac:dyDescent="0.3">
      <c r="A11">
        <v>10</v>
      </c>
      <c r="B11">
        <v>1756</v>
      </c>
      <c r="C11">
        <v>270</v>
      </c>
    </row>
    <row r="13" spans="1:4" x14ac:dyDescent="0.3">
      <c r="A13" t="s">
        <v>4</v>
      </c>
      <c r="B13">
        <f>AVERAGE(B2:B11)</f>
        <v>685.9</v>
      </c>
      <c r="C13">
        <f>AVERAGE(C2:C11)</f>
        <v>799.88888888888891</v>
      </c>
    </row>
    <row r="14" spans="1:4" x14ac:dyDescent="0.3">
      <c r="A14" t="s">
        <v>5</v>
      </c>
      <c r="B14">
        <f>MEDIAN(B2:B11)</f>
        <v>436.5</v>
      </c>
      <c r="C14">
        <f>MEDIAN(C2:C11)</f>
        <v>292</v>
      </c>
    </row>
    <row r="15" spans="1:4" x14ac:dyDescent="0.3">
      <c r="A15" t="s">
        <v>6</v>
      </c>
      <c r="B15">
        <f>MIN(B2:B11)</f>
        <v>212</v>
      </c>
      <c r="C15">
        <f>MIN(C2:C11)</f>
        <v>101</v>
      </c>
    </row>
    <row r="16" spans="1:4" x14ac:dyDescent="0.3">
      <c r="A16" t="s">
        <v>7</v>
      </c>
      <c r="B16">
        <f>MAX(B2:B11)</f>
        <v>1756</v>
      </c>
      <c r="C16">
        <f>MAX(C2:C11)</f>
        <v>2378</v>
      </c>
    </row>
    <row r="17" spans="1:3" x14ac:dyDescent="0.3">
      <c r="A17" t="s">
        <v>8</v>
      </c>
      <c r="B17">
        <f>COUNT(B2:B11)</f>
        <v>10</v>
      </c>
      <c r="C17">
        <f>COUNT(C2:C11)</f>
        <v>9</v>
      </c>
    </row>
    <row r="19" spans="1:3" x14ac:dyDescent="0.3">
      <c r="A1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Sadia Tahsin</cp:lastModifiedBy>
  <dcterms:created xsi:type="dcterms:W3CDTF">2026-10-08T14:05:57Z</dcterms:created>
  <dcterms:modified xsi:type="dcterms:W3CDTF">2026-10-10T12:03:49Z</dcterms:modified>
</cp:coreProperties>
</file>